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B4AEBE5-CB79-4DBF-9DCB-7CDD423640F2}" xr6:coauthVersionLast="47" xr6:coauthVersionMax="47" xr10:uidLastSave="{00000000-0000-0000-0000-000000000000}"/>
  <bookViews>
    <workbookView xWindow="-108" yWindow="-108" windowWidth="23256" windowHeight="12456" xr2:uid="{33E5599E-96F5-444C-A322-4E122240E8DD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P111" i="1" l="1"/>
  <c r="AO111" i="1"/>
  <c r="AN111" i="1"/>
  <c r="AM111" i="1"/>
  <c r="AL111" i="1"/>
  <c r="AK111" i="1"/>
  <c r="AJ111" i="1"/>
  <c r="AI111" i="1"/>
  <c r="AH111" i="1"/>
  <c r="AG111" i="1"/>
  <c r="AP110" i="1"/>
  <c r="AO110" i="1"/>
  <c r="AN110" i="1"/>
  <c r="AM110" i="1"/>
  <c r="AL110" i="1"/>
  <c r="AK110" i="1"/>
  <c r="AJ110" i="1"/>
  <c r="AI110" i="1"/>
  <c r="AH110" i="1"/>
  <c r="AG110" i="1"/>
  <c r="AP109" i="1"/>
  <c r="AO109" i="1"/>
  <c r="AN109" i="1"/>
  <c r="AM109" i="1"/>
  <c r="AL109" i="1"/>
  <c r="AK109" i="1"/>
  <c r="AJ109" i="1"/>
  <c r="AI109" i="1"/>
  <c r="AH109" i="1"/>
  <c r="AG109" i="1"/>
  <c r="AP108" i="1"/>
  <c r="AO108" i="1"/>
  <c r="AN108" i="1"/>
  <c r="AM108" i="1"/>
  <c r="AL108" i="1"/>
  <c r="AK108" i="1"/>
  <c r="AJ108" i="1"/>
  <c r="AI108" i="1"/>
  <c r="AH108" i="1"/>
  <c r="AG108" i="1"/>
  <c r="AP107" i="1"/>
  <c r="AO107" i="1"/>
  <c r="AN107" i="1"/>
  <c r="AM107" i="1"/>
  <c r="AL107" i="1"/>
  <c r="AK107" i="1"/>
  <c r="AJ107" i="1"/>
  <c r="AI107" i="1"/>
  <c r="AH107" i="1"/>
  <c r="AG107" i="1"/>
  <c r="AP106" i="1"/>
  <c r="AO106" i="1"/>
  <c r="AN106" i="1"/>
  <c r="AM106" i="1"/>
  <c r="AL106" i="1"/>
  <c r="AK106" i="1"/>
  <c r="AJ106" i="1"/>
  <c r="AI106" i="1"/>
  <c r="AH106" i="1"/>
  <c r="AG106" i="1"/>
  <c r="AP105" i="1"/>
  <c r="AO105" i="1"/>
  <c r="AN105" i="1"/>
  <c r="AM105" i="1"/>
  <c r="AL105" i="1"/>
  <c r="AK105" i="1"/>
  <c r="AJ105" i="1"/>
  <c r="AI105" i="1"/>
  <c r="AH105" i="1"/>
  <c r="AG105" i="1"/>
  <c r="AP104" i="1"/>
  <c r="AO104" i="1"/>
  <c r="AN104" i="1"/>
  <c r="AM104" i="1"/>
  <c r="AL104" i="1"/>
  <c r="AK104" i="1"/>
  <c r="AJ104" i="1"/>
  <c r="AI104" i="1"/>
  <c r="AH104" i="1"/>
  <c r="AG104" i="1"/>
  <c r="AP103" i="1"/>
  <c r="AO103" i="1"/>
  <c r="AN103" i="1"/>
  <c r="AM103" i="1"/>
  <c r="AL103" i="1"/>
  <c r="AK103" i="1"/>
  <c r="AJ103" i="1"/>
  <c r="AI103" i="1"/>
  <c r="AH103" i="1"/>
  <c r="AG103" i="1"/>
  <c r="AP102" i="1"/>
  <c r="AO102" i="1"/>
  <c r="AN102" i="1"/>
  <c r="AM102" i="1"/>
  <c r="AL102" i="1"/>
  <c r="AK102" i="1"/>
  <c r="AJ102" i="1"/>
  <c r="AG102" i="1" s="1"/>
  <c r="AI102" i="1"/>
  <c r="AH102" i="1"/>
  <c r="AP101" i="1"/>
  <c r="AO101" i="1"/>
  <c r="AN101" i="1"/>
  <c r="AM101" i="1"/>
  <c r="AL101" i="1"/>
  <c r="AK101" i="1"/>
  <c r="AJ101" i="1"/>
  <c r="AG101" i="1" s="1"/>
  <c r="AI101" i="1"/>
  <c r="AH101" i="1"/>
  <c r="AP100" i="1"/>
  <c r="AO100" i="1"/>
  <c r="AN100" i="1"/>
  <c r="AM100" i="1"/>
  <c r="AL100" i="1"/>
  <c r="AK100" i="1"/>
  <c r="AJ100" i="1"/>
  <c r="AG100" i="1" s="1"/>
  <c r="AI100" i="1"/>
  <c r="AH100" i="1"/>
  <c r="AP99" i="1"/>
  <c r="AO99" i="1"/>
  <c r="AN99" i="1"/>
  <c r="AM99" i="1"/>
  <c r="AL99" i="1"/>
  <c r="AK99" i="1"/>
  <c r="AJ99" i="1"/>
  <c r="AI99" i="1"/>
  <c r="AH99" i="1"/>
  <c r="AP98" i="1"/>
  <c r="AO98" i="1"/>
  <c r="AN98" i="1"/>
  <c r="AM98" i="1"/>
  <c r="AL98" i="1"/>
  <c r="AK98" i="1"/>
  <c r="AJ98" i="1"/>
  <c r="AG98" i="1" s="1"/>
  <c r="AI98" i="1"/>
  <c r="AH98" i="1"/>
  <c r="AP97" i="1"/>
  <c r="AO97" i="1"/>
  <c r="AN97" i="1"/>
  <c r="AM97" i="1"/>
  <c r="AL97" i="1"/>
  <c r="AK97" i="1"/>
  <c r="AJ97" i="1"/>
  <c r="AI97" i="1"/>
  <c r="AH97" i="1"/>
  <c r="AP96" i="1"/>
  <c r="AG96" i="1" s="1"/>
  <c r="AO96" i="1"/>
  <c r="AN96" i="1"/>
  <c r="AM96" i="1"/>
  <c r="AL96" i="1"/>
  <c r="AK96" i="1"/>
  <c r="AJ96" i="1"/>
  <c r="AI96" i="1"/>
  <c r="AH96" i="1"/>
  <c r="AP95" i="1"/>
  <c r="AO95" i="1"/>
  <c r="AN95" i="1"/>
  <c r="AM95" i="1"/>
  <c r="AL95" i="1"/>
  <c r="AK95" i="1"/>
  <c r="AJ95" i="1"/>
  <c r="AG95" i="1" s="1"/>
  <c r="AI95" i="1"/>
  <c r="AH95" i="1"/>
  <c r="AP94" i="1"/>
  <c r="AO94" i="1"/>
  <c r="AN94" i="1"/>
  <c r="AM94" i="1"/>
  <c r="AL94" i="1"/>
  <c r="AK94" i="1"/>
  <c r="AJ94" i="1"/>
  <c r="AG94" i="1" s="1"/>
  <c r="AI94" i="1"/>
  <c r="AH94" i="1"/>
  <c r="AP93" i="1"/>
  <c r="AO93" i="1"/>
  <c r="AN93" i="1"/>
  <c r="AM93" i="1"/>
  <c r="AL93" i="1"/>
  <c r="AK93" i="1"/>
  <c r="AJ93" i="1"/>
  <c r="AG93" i="1" s="1"/>
  <c r="AI93" i="1"/>
  <c r="AH93" i="1"/>
  <c r="AP92" i="1"/>
  <c r="AO92" i="1"/>
  <c r="AN92" i="1"/>
  <c r="AM92" i="1"/>
  <c r="AL92" i="1"/>
  <c r="AK92" i="1"/>
  <c r="AJ92" i="1"/>
  <c r="AG92" i="1" s="1"/>
  <c r="AI92" i="1"/>
  <c r="AH92" i="1"/>
  <c r="AP91" i="1"/>
  <c r="AO91" i="1"/>
  <c r="AN91" i="1"/>
  <c r="AM91" i="1"/>
  <c r="AL91" i="1"/>
  <c r="AK91" i="1"/>
  <c r="AJ91" i="1"/>
  <c r="AI91" i="1"/>
  <c r="AH91" i="1"/>
  <c r="AP90" i="1"/>
  <c r="AO90" i="1"/>
  <c r="AN90" i="1"/>
  <c r="AM90" i="1"/>
  <c r="AL90" i="1"/>
  <c r="AK90" i="1"/>
  <c r="AJ90" i="1"/>
  <c r="AI90" i="1"/>
  <c r="AH90" i="1"/>
  <c r="AP89" i="1"/>
  <c r="AO89" i="1"/>
  <c r="AN89" i="1"/>
  <c r="AM89" i="1"/>
  <c r="AL89" i="1"/>
  <c r="AK89" i="1"/>
  <c r="AJ89" i="1"/>
  <c r="AI89" i="1"/>
  <c r="AH89" i="1"/>
  <c r="AP88" i="1"/>
  <c r="AO88" i="1"/>
  <c r="AN88" i="1"/>
  <c r="AM88" i="1"/>
  <c r="AL88" i="1"/>
  <c r="AK88" i="1"/>
  <c r="AJ88" i="1"/>
  <c r="AI88" i="1"/>
  <c r="AH88" i="1"/>
  <c r="AP87" i="1"/>
  <c r="AO87" i="1"/>
  <c r="AN87" i="1"/>
  <c r="AM87" i="1"/>
  <c r="AL87" i="1"/>
  <c r="AK87" i="1"/>
  <c r="AJ87" i="1"/>
  <c r="AI87" i="1"/>
  <c r="AH87" i="1"/>
  <c r="AP86" i="1"/>
  <c r="AO86" i="1"/>
  <c r="AN86" i="1"/>
  <c r="AM86" i="1"/>
  <c r="AL86" i="1"/>
  <c r="AK86" i="1"/>
  <c r="AJ86" i="1"/>
  <c r="AI86" i="1"/>
  <c r="AH86" i="1"/>
  <c r="AP85" i="1"/>
  <c r="AO85" i="1"/>
  <c r="AN85" i="1"/>
  <c r="AM85" i="1"/>
  <c r="AL85" i="1"/>
  <c r="AK85" i="1"/>
  <c r="AJ85" i="1"/>
  <c r="AI85" i="1"/>
  <c r="AH85" i="1"/>
  <c r="AP84" i="1"/>
  <c r="AO84" i="1"/>
  <c r="AN84" i="1"/>
  <c r="AM84" i="1"/>
  <c r="AL84" i="1"/>
  <c r="AK84" i="1"/>
  <c r="AJ84" i="1"/>
  <c r="AI84" i="1"/>
  <c r="AH84" i="1"/>
  <c r="AP83" i="1"/>
  <c r="AO83" i="1"/>
  <c r="AN83" i="1"/>
  <c r="AM83" i="1"/>
  <c r="AL83" i="1"/>
  <c r="AK83" i="1"/>
  <c r="AJ83" i="1"/>
  <c r="AI83" i="1"/>
  <c r="AH83" i="1"/>
  <c r="AP82" i="1"/>
  <c r="AO82" i="1"/>
  <c r="AN82" i="1"/>
  <c r="AM82" i="1"/>
  <c r="AL82" i="1"/>
  <c r="AK82" i="1"/>
  <c r="AJ82" i="1"/>
  <c r="AI82" i="1"/>
  <c r="AH82" i="1"/>
  <c r="AP81" i="1"/>
  <c r="AO81" i="1"/>
  <c r="AN81" i="1"/>
  <c r="AM81" i="1"/>
  <c r="AL81" i="1"/>
  <c r="AK81" i="1"/>
  <c r="AJ81" i="1"/>
  <c r="AI81" i="1"/>
  <c r="AH81" i="1"/>
  <c r="AP80" i="1"/>
  <c r="AO80" i="1"/>
  <c r="AN80" i="1"/>
  <c r="AM80" i="1"/>
  <c r="AL80" i="1"/>
  <c r="AK80" i="1"/>
  <c r="AJ80" i="1"/>
  <c r="AI80" i="1"/>
  <c r="AH80" i="1"/>
  <c r="AP79" i="1"/>
  <c r="AO79" i="1"/>
  <c r="AN79" i="1"/>
  <c r="AM79" i="1"/>
  <c r="AL79" i="1"/>
  <c r="AK79" i="1"/>
  <c r="AJ79" i="1"/>
  <c r="AI79" i="1"/>
  <c r="AH79" i="1"/>
  <c r="AP78" i="1"/>
  <c r="AO78" i="1"/>
  <c r="AN78" i="1"/>
  <c r="AM78" i="1"/>
  <c r="AL78" i="1"/>
  <c r="AK78" i="1"/>
  <c r="AJ78" i="1"/>
  <c r="AI78" i="1"/>
  <c r="AH78" i="1"/>
  <c r="AP77" i="1"/>
  <c r="AO77" i="1"/>
  <c r="AN77" i="1"/>
  <c r="AM77" i="1"/>
  <c r="AL77" i="1"/>
  <c r="AK77" i="1"/>
  <c r="AJ77" i="1"/>
  <c r="AI77" i="1"/>
  <c r="AH77" i="1"/>
  <c r="AP76" i="1"/>
  <c r="AO76" i="1"/>
  <c r="AN76" i="1"/>
  <c r="AM76" i="1"/>
  <c r="AL76" i="1"/>
  <c r="AK76" i="1"/>
  <c r="AJ76" i="1"/>
  <c r="AI76" i="1"/>
  <c r="AH76" i="1"/>
  <c r="AP75" i="1"/>
  <c r="AO75" i="1"/>
  <c r="AN75" i="1"/>
  <c r="AM75" i="1"/>
  <c r="AL75" i="1"/>
  <c r="AK75" i="1"/>
  <c r="AJ75" i="1"/>
  <c r="AI75" i="1"/>
  <c r="AH75" i="1"/>
  <c r="AP74" i="1"/>
  <c r="AO74" i="1"/>
  <c r="AN74" i="1"/>
  <c r="AM74" i="1"/>
  <c r="AL74" i="1"/>
  <c r="AK74" i="1"/>
  <c r="AJ74" i="1"/>
  <c r="AI74" i="1"/>
  <c r="AH74" i="1"/>
  <c r="AP73" i="1"/>
  <c r="AO73" i="1"/>
  <c r="AN73" i="1"/>
  <c r="AM73" i="1"/>
  <c r="AL73" i="1"/>
  <c r="AK73" i="1"/>
  <c r="AJ73" i="1"/>
  <c r="AI73" i="1"/>
  <c r="AH73" i="1"/>
  <c r="AP72" i="1"/>
  <c r="AO72" i="1"/>
  <c r="AN72" i="1"/>
  <c r="AM72" i="1"/>
  <c r="AL72" i="1"/>
  <c r="AK72" i="1"/>
  <c r="AJ72" i="1"/>
  <c r="AI72" i="1"/>
  <c r="AH72" i="1"/>
  <c r="AP71" i="1"/>
  <c r="AO71" i="1"/>
  <c r="AN71" i="1"/>
  <c r="AM71" i="1"/>
  <c r="AL71" i="1"/>
  <c r="AK71" i="1"/>
  <c r="AJ71" i="1"/>
  <c r="AI71" i="1"/>
  <c r="AH71" i="1"/>
  <c r="AP70" i="1"/>
  <c r="AO70" i="1"/>
  <c r="AN70" i="1"/>
  <c r="AM70" i="1"/>
  <c r="AL70" i="1"/>
  <c r="AK70" i="1"/>
  <c r="AJ70" i="1"/>
  <c r="AI70" i="1"/>
  <c r="AH70" i="1"/>
  <c r="AP69" i="1"/>
  <c r="AO69" i="1"/>
  <c r="AN69" i="1"/>
  <c r="AM69" i="1"/>
  <c r="AL69" i="1"/>
  <c r="AK69" i="1"/>
  <c r="AJ69" i="1"/>
  <c r="AI69" i="1"/>
  <c r="AH69" i="1"/>
  <c r="AP68" i="1"/>
  <c r="AO68" i="1"/>
  <c r="AN68" i="1"/>
  <c r="AM68" i="1"/>
  <c r="AL68" i="1"/>
  <c r="AK68" i="1"/>
  <c r="AJ68" i="1"/>
  <c r="AI68" i="1"/>
  <c r="AH68" i="1"/>
  <c r="AP67" i="1"/>
  <c r="AO67" i="1"/>
  <c r="AN67" i="1"/>
  <c r="AM67" i="1"/>
  <c r="AL67" i="1"/>
  <c r="AK67" i="1"/>
  <c r="AJ67" i="1"/>
  <c r="AI67" i="1"/>
  <c r="AH67" i="1"/>
  <c r="AP66" i="1"/>
  <c r="AO66" i="1"/>
  <c r="AN66" i="1"/>
  <c r="AM66" i="1"/>
  <c r="AL66" i="1"/>
  <c r="AK66" i="1"/>
  <c r="AJ66" i="1"/>
  <c r="AI66" i="1"/>
  <c r="AH66" i="1"/>
  <c r="AP65" i="1"/>
  <c r="AO65" i="1"/>
  <c r="AN65" i="1"/>
  <c r="AM65" i="1"/>
  <c r="AL65" i="1"/>
  <c r="AK65" i="1"/>
  <c r="AJ65" i="1"/>
  <c r="AI65" i="1"/>
  <c r="AH65" i="1"/>
  <c r="AP64" i="1"/>
  <c r="AO64" i="1"/>
  <c r="AN64" i="1"/>
  <c r="AM64" i="1"/>
  <c r="AL64" i="1"/>
  <c r="AK64" i="1"/>
  <c r="AJ64" i="1"/>
  <c r="AI64" i="1"/>
  <c r="AH64" i="1"/>
  <c r="AP63" i="1"/>
  <c r="AO63" i="1"/>
  <c r="AN63" i="1"/>
  <c r="AM63" i="1"/>
  <c r="AL63" i="1"/>
  <c r="AK63" i="1"/>
  <c r="AJ63" i="1"/>
  <c r="AI63" i="1"/>
  <c r="AH63" i="1"/>
  <c r="AP62" i="1"/>
  <c r="AO62" i="1"/>
  <c r="AN62" i="1"/>
  <c r="AM62" i="1"/>
  <c r="AL62" i="1"/>
  <c r="AK62" i="1"/>
  <c r="AJ62" i="1"/>
  <c r="AI62" i="1"/>
  <c r="AH62" i="1"/>
  <c r="AP61" i="1"/>
  <c r="AO61" i="1"/>
  <c r="AN61" i="1"/>
  <c r="AM61" i="1"/>
  <c r="AL61" i="1"/>
  <c r="AK61" i="1"/>
  <c r="AJ61" i="1"/>
  <c r="AI61" i="1"/>
  <c r="AH61" i="1"/>
  <c r="AP60" i="1"/>
  <c r="AO60" i="1"/>
  <c r="AN60" i="1"/>
  <c r="AM60" i="1"/>
  <c r="AL60" i="1"/>
  <c r="AK60" i="1"/>
  <c r="AJ60" i="1"/>
  <c r="AI60" i="1"/>
  <c r="AH60" i="1"/>
  <c r="AP59" i="1"/>
  <c r="AO59" i="1"/>
  <c r="AN59" i="1"/>
  <c r="AM59" i="1"/>
  <c r="AL59" i="1"/>
  <c r="AK59" i="1"/>
  <c r="AJ59" i="1"/>
  <c r="AI59" i="1"/>
  <c r="AH59" i="1"/>
  <c r="AP58" i="1"/>
  <c r="AO58" i="1"/>
  <c r="AN58" i="1"/>
  <c r="AM58" i="1"/>
  <c r="AL58" i="1"/>
  <c r="AK58" i="1"/>
  <c r="AJ58" i="1"/>
  <c r="AI58" i="1"/>
  <c r="AH58" i="1"/>
  <c r="AP57" i="1"/>
  <c r="AO57" i="1"/>
  <c r="AN57" i="1"/>
  <c r="AM57" i="1"/>
  <c r="AL57" i="1"/>
  <c r="AK57" i="1"/>
  <c r="AJ57" i="1"/>
  <c r="AI57" i="1"/>
  <c r="AH57" i="1"/>
  <c r="AP56" i="1"/>
  <c r="AO56" i="1"/>
  <c r="AN56" i="1"/>
  <c r="AM56" i="1"/>
  <c r="AL56" i="1"/>
  <c r="AK56" i="1"/>
  <c r="AJ56" i="1"/>
  <c r="AI56" i="1"/>
  <c r="AH56" i="1"/>
  <c r="AP55" i="1"/>
  <c r="AO55" i="1"/>
  <c r="AN55" i="1"/>
  <c r="AM55" i="1"/>
  <c r="AL55" i="1"/>
  <c r="AK55" i="1"/>
  <c r="AJ55" i="1"/>
  <c r="AI55" i="1"/>
  <c r="AH55" i="1"/>
  <c r="AP54" i="1"/>
  <c r="AO54" i="1"/>
  <c r="AN54" i="1"/>
  <c r="AM54" i="1"/>
  <c r="AL54" i="1"/>
  <c r="AK54" i="1"/>
  <c r="AJ54" i="1"/>
  <c r="AI54" i="1"/>
  <c r="AH54" i="1"/>
  <c r="AP53" i="1"/>
  <c r="AO53" i="1"/>
  <c r="AN53" i="1"/>
  <c r="AM53" i="1"/>
  <c r="AL53" i="1"/>
  <c r="AK53" i="1"/>
  <c r="AJ53" i="1"/>
  <c r="AI53" i="1"/>
  <c r="AH53" i="1"/>
  <c r="AP52" i="1"/>
  <c r="AO52" i="1"/>
  <c r="AN52" i="1"/>
  <c r="AM52" i="1"/>
  <c r="AL52" i="1"/>
  <c r="AK52" i="1"/>
  <c r="AJ52" i="1"/>
  <c r="AI52" i="1"/>
  <c r="AH52" i="1"/>
  <c r="AP51" i="1"/>
  <c r="AO51" i="1"/>
  <c r="AN51" i="1"/>
  <c r="AM51" i="1"/>
  <c r="AL51" i="1"/>
  <c r="AK51" i="1"/>
  <c r="AJ51" i="1"/>
  <c r="AI51" i="1"/>
  <c r="AH51" i="1"/>
  <c r="AP50" i="1"/>
  <c r="AO50" i="1"/>
  <c r="AN50" i="1"/>
  <c r="AM50" i="1"/>
  <c r="AL50" i="1"/>
  <c r="AK50" i="1"/>
  <c r="AJ50" i="1"/>
  <c r="AI50" i="1"/>
  <c r="AH50" i="1"/>
  <c r="AP49" i="1"/>
  <c r="AO49" i="1"/>
  <c r="AN49" i="1"/>
  <c r="AM49" i="1"/>
  <c r="AL49" i="1"/>
  <c r="AK49" i="1"/>
  <c r="AJ49" i="1"/>
  <c r="AI49" i="1"/>
  <c r="AH49" i="1"/>
  <c r="AP48" i="1"/>
  <c r="AO48" i="1"/>
  <c r="AN48" i="1"/>
  <c r="AM48" i="1"/>
  <c r="AL48" i="1"/>
  <c r="AK48" i="1"/>
  <c r="AJ48" i="1"/>
  <c r="AI48" i="1"/>
  <c r="AH48" i="1"/>
  <c r="AP47" i="1"/>
  <c r="AO47" i="1"/>
  <c r="AN47" i="1"/>
  <c r="AM47" i="1"/>
  <c r="AL47" i="1"/>
  <c r="AK47" i="1"/>
  <c r="AJ47" i="1"/>
  <c r="AI47" i="1"/>
  <c r="AH47" i="1"/>
  <c r="AP46" i="1"/>
  <c r="AO46" i="1"/>
  <c r="AN46" i="1"/>
  <c r="AM46" i="1"/>
  <c r="AL46" i="1"/>
  <c r="AK46" i="1"/>
  <c r="AJ46" i="1"/>
  <c r="AI46" i="1"/>
  <c r="AH46" i="1"/>
  <c r="AP45" i="1"/>
  <c r="AO45" i="1"/>
  <c r="AN45" i="1"/>
  <c r="AM45" i="1"/>
  <c r="AL45" i="1"/>
  <c r="AK45" i="1"/>
  <c r="AJ45" i="1"/>
  <c r="AI45" i="1"/>
  <c r="AH45" i="1"/>
  <c r="AP44" i="1"/>
  <c r="AO44" i="1"/>
  <c r="AN44" i="1"/>
  <c r="AM44" i="1"/>
  <c r="AL44" i="1"/>
  <c r="AK44" i="1"/>
  <c r="AJ44" i="1"/>
  <c r="AI44" i="1"/>
  <c r="AH44" i="1"/>
  <c r="AP43" i="1"/>
  <c r="AO43" i="1"/>
  <c r="AN43" i="1"/>
  <c r="AM43" i="1"/>
  <c r="AL43" i="1"/>
  <c r="AK43" i="1"/>
  <c r="AJ43" i="1"/>
  <c r="AI43" i="1"/>
  <c r="AH43" i="1"/>
  <c r="AP42" i="1"/>
  <c r="AO42" i="1"/>
  <c r="AN42" i="1"/>
  <c r="AM42" i="1"/>
  <c r="AL42" i="1"/>
  <c r="AK42" i="1"/>
  <c r="AJ42" i="1"/>
  <c r="AI42" i="1"/>
  <c r="AH42" i="1"/>
  <c r="AP41" i="1"/>
  <c r="AO41" i="1"/>
  <c r="AN41" i="1"/>
  <c r="AM41" i="1"/>
  <c r="AL41" i="1"/>
  <c r="AK41" i="1"/>
  <c r="AJ41" i="1"/>
  <c r="AI41" i="1"/>
  <c r="AH41" i="1"/>
  <c r="AP40" i="1"/>
  <c r="AO40" i="1"/>
  <c r="AN40" i="1"/>
  <c r="AM40" i="1"/>
  <c r="AL40" i="1"/>
  <c r="AK40" i="1"/>
  <c r="AJ40" i="1"/>
  <c r="AI40" i="1"/>
  <c r="AH40" i="1"/>
  <c r="AP39" i="1"/>
  <c r="AO39" i="1"/>
  <c r="AN39" i="1"/>
  <c r="AM39" i="1"/>
  <c r="AL39" i="1"/>
  <c r="AK39" i="1"/>
  <c r="AJ39" i="1"/>
  <c r="AI39" i="1"/>
  <c r="AH39" i="1"/>
  <c r="AP38" i="1"/>
  <c r="AO38" i="1"/>
  <c r="AN38" i="1"/>
  <c r="AM38" i="1"/>
  <c r="AL38" i="1"/>
  <c r="AK38" i="1"/>
  <c r="AJ38" i="1"/>
  <c r="AI38" i="1"/>
  <c r="AH38" i="1"/>
  <c r="AP37" i="1"/>
  <c r="AO37" i="1"/>
  <c r="AN37" i="1"/>
  <c r="AM37" i="1"/>
  <c r="AL37" i="1"/>
  <c r="AK37" i="1"/>
  <c r="AJ37" i="1"/>
  <c r="AI37" i="1"/>
  <c r="AH37" i="1"/>
  <c r="AP36" i="1"/>
  <c r="AO36" i="1"/>
  <c r="AN36" i="1"/>
  <c r="AM36" i="1"/>
  <c r="AL36" i="1"/>
  <c r="AK36" i="1"/>
  <c r="AJ36" i="1"/>
  <c r="AI36" i="1"/>
  <c r="AH36" i="1"/>
  <c r="AP35" i="1"/>
  <c r="AO35" i="1"/>
  <c r="AN35" i="1"/>
  <c r="AM35" i="1"/>
  <c r="AL35" i="1"/>
  <c r="AK35" i="1"/>
  <c r="AJ35" i="1"/>
  <c r="AI35" i="1"/>
  <c r="AH35" i="1"/>
  <c r="AP34" i="1"/>
  <c r="AO34" i="1"/>
  <c r="AN34" i="1"/>
  <c r="AM34" i="1"/>
  <c r="AL34" i="1"/>
  <c r="AK34" i="1"/>
  <c r="AJ34" i="1"/>
  <c r="AI34" i="1"/>
  <c r="AH34" i="1"/>
  <c r="AP33" i="1"/>
  <c r="AO33" i="1"/>
  <c r="AN33" i="1"/>
  <c r="AM33" i="1"/>
  <c r="AL33" i="1"/>
  <c r="AK33" i="1"/>
  <c r="AJ33" i="1"/>
  <c r="AI33" i="1"/>
  <c r="AH33" i="1"/>
  <c r="AP32" i="1"/>
  <c r="AO32" i="1"/>
  <c r="AN32" i="1"/>
  <c r="AM32" i="1"/>
  <c r="AL32" i="1"/>
  <c r="AK32" i="1"/>
  <c r="AJ32" i="1"/>
  <c r="AI32" i="1"/>
  <c r="AH32" i="1"/>
  <c r="AP31" i="1"/>
  <c r="AO31" i="1"/>
  <c r="AN31" i="1"/>
  <c r="AM31" i="1"/>
  <c r="AL31" i="1"/>
  <c r="AK31" i="1"/>
  <c r="AJ31" i="1"/>
  <c r="AI31" i="1"/>
  <c r="AH31" i="1"/>
  <c r="AP30" i="1"/>
  <c r="AO30" i="1"/>
  <c r="AN30" i="1"/>
  <c r="AM30" i="1"/>
  <c r="AL30" i="1"/>
  <c r="AK30" i="1"/>
  <c r="AJ30" i="1"/>
  <c r="AI30" i="1"/>
  <c r="AH30" i="1"/>
  <c r="AP29" i="1"/>
  <c r="AO29" i="1"/>
  <c r="AN29" i="1"/>
  <c r="AM29" i="1"/>
  <c r="AL29" i="1"/>
  <c r="AK29" i="1"/>
  <c r="AJ29" i="1"/>
  <c r="AI29" i="1"/>
  <c r="AH29" i="1"/>
  <c r="AP28" i="1"/>
  <c r="AO28" i="1"/>
  <c r="AN28" i="1"/>
  <c r="AM28" i="1"/>
  <c r="AL28" i="1"/>
  <c r="AK28" i="1"/>
  <c r="AJ28" i="1"/>
  <c r="AI28" i="1"/>
  <c r="AH28" i="1"/>
  <c r="AP27" i="1"/>
  <c r="AO27" i="1"/>
  <c r="AN27" i="1"/>
  <c r="AM27" i="1"/>
  <c r="AL27" i="1"/>
  <c r="AK27" i="1"/>
  <c r="AJ27" i="1"/>
  <c r="AI27" i="1"/>
  <c r="AH27" i="1"/>
  <c r="AP26" i="1"/>
  <c r="AO26" i="1"/>
  <c r="AN26" i="1"/>
  <c r="AM26" i="1"/>
  <c r="AL26" i="1"/>
  <c r="AK26" i="1"/>
  <c r="AJ26" i="1"/>
  <c r="AI26" i="1"/>
  <c r="AH26" i="1"/>
  <c r="AP25" i="1"/>
  <c r="AO25" i="1"/>
  <c r="AN25" i="1"/>
  <c r="AM25" i="1"/>
  <c r="AL25" i="1"/>
  <c r="AK25" i="1"/>
  <c r="AJ25" i="1"/>
  <c r="AI25" i="1"/>
  <c r="AH25" i="1"/>
  <c r="AP24" i="1"/>
  <c r="AO24" i="1"/>
  <c r="AN24" i="1"/>
  <c r="AM24" i="1"/>
  <c r="AL24" i="1"/>
  <c r="AK24" i="1"/>
  <c r="AJ24" i="1"/>
  <c r="AI24" i="1"/>
  <c r="AH24" i="1"/>
  <c r="AP23" i="1"/>
  <c r="AO23" i="1"/>
  <c r="AN23" i="1"/>
  <c r="AM23" i="1"/>
  <c r="AL23" i="1"/>
  <c r="AK23" i="1"/>
  <c r="AJ23" i="1"/>
  <c r="AI23" i="1"/>
  <c r="AH23" i="1"/>
  <c r="AP22" i="1"/>
  <c r="AO22" i="1"/>
  <c r="AN22" i="1"/>
  <c r="AM22" i="1"/>
  <c r="AL22" i="1"/>
  <c r="AK22" i="1"/>
  <c r="AJ22" i="1"/>
  <c r="AI22" i="1"/>
  <c r="AH22" i="1"/>
  <c r="AP21" i="1"/>
  <c r="AO21" i="1"/>
  <c r="AN21" i="1"/>
  <c r="AM21" i="1"/>
  <c r="AL21" i="1"/>
  <c r="AK21" i="1"/>
  <c r="AJ21" i="1"/>
  <c r="AI21" i="1"/>
  <c r="AH21" i="1"/>
  <c r="AP20" i="1"/>
  <c r="AO20" i="1"/>
  <c r="AN20" i="1"/>
  <c r="AM20" i="1"/>
  <c r="AL20" i="1"/>
  <c r="AK20" i="1"/>
  <c r="AJ20" i="1"/>
  <c r="AI20" i="1"/>
  <c r="AH20" i="1"/>
  <c r="AP19" i="1"/>
  <c r="AO19" i="1"/>
  <c r="AN19" i="1"/>
  <c r="AM19" i="1"/>
  <c r="AL19" i="1"/>
  <c r="AK19" i="1"/>
  <c r="AJ19" i="1"/>
  <c r="AI19" i="1"/>
  <c r="AH19" i="1"/>
  <c r="AP18" i="1"/>
  <c r="AO18" i="1"/>
  <c r="AN18" i="1"/>
  <c r="AM18" i="1"/>
  <c r="AL18" i="1"/>
  <c r="AK18" i="1"/>
  <c r="AJ18" i="1"/>
  <c r="AI18" i="1"/>
  <c r="AH18" i="1"/>
  <c r="AP17" i="1"/>
  <c r="AO17" i="1"/>
  <c r="AN17" i="1"/>
  <c r="AM17" i="1"/>
  <c r="AL17" i="1"/>
  <c r="AK17" i="1"/>
  <c r="AJ17" i="1"/>
  <c r="AI17" i="1"/>
  <c r="AH17" i="1"/>
  <c r="AG16" i="1"/>
  <c r="AG12" i="1"/>
  <c r="C10" i="1"/>
  <c r="AG54" i="1" l="1"/>
  <c r="AG52" i="1"/>
  <c r="AG51" i="1"/>
  <c r="AG75" i="1"/>
  <c r="AG40" i="1"/>
  <c r="AG29" i="1"/>
  <c r="AG28" i="1"/>
  <c r="AG27" i="1"/>
  <c r="AG26" i="1"/>
  <c r="AG41" i="1"/>
  <c r="AG53" i="1"/>
  <c r="AG39" i="1"/>
  <c r="AG38" i="1"/>
  <c r="AG97" i="1"/>
  <c r="AG66" i="1"/>
  <c r="AG65" i="1"/>
  <c r="AQ65" i="1" s="1"/>
  <c r="AG64" i="1"/>
  <c r="AQ64" i="1" s="1"/>
  <c r="AG63" i="1"/>
  <c r="AQ63" i="1" s="1"/>
  <c r="AG50" i="1"/>
  <c r="AG99" i="1"/>
  <c r="AR111" i="1"/>
  <c r="AQ111" i="1"/>
  <c r="AS111" i="1" s="1"/>
  <c r="AT111" i="1" s="1"/>
  <c r="AU111" i="1" s="1"/>
  <c r="AQ110" i="1"/>
  <c r="AR110" i="1"/>
  <c r="AR109" i="1"/>
  <c r="AQ109" i="1"/>
  <c r="AS109" i="1" s="1"/>
  <c r="AT109" i="1" s="1"/>
  <c r="AU109" i="1" s="1"/>
  <c r="AR108" i="1"/>
  <c r="AQ108" i="1"/>
  <c r="AS108" i="1" s="1"/>
  <c r="AT108" i="1" s="1"/>
  <c r="AU108" i="1" s="1"/>
  <c r="AR107" i="1"/>
  <c r="AQ107" i="1"/>
  <c r="AR106" i="1"/>
  <c r="AQ106" i="1"/>
  <c r="AQ105" i="1"/>
  <c r="AR105" i="1"/>
  <c r="AQ104" i="1"/>
  <c r="AR104" i="1"/>
  <c r="AR103" i="1"/>
  <c r="AQ103" i="1"/>
  <c r="AS103" i="1" s="1"/>
  <c r="AT103" i="1" s="1"/>
  <c r="AU103" i="1" s="1"/>
  <c r="AQ102" i="1"/>
  <c r="AR102" i="1"/>
  <c r="AQ101" i="1"/>
  <c r="AR101" i="1"/>
  <c r="AQ100" i="1"/>
  <c r="AR100" i="1"/>
  <c r="AQ98" i="1"/>
  <c r="AR98" i="1"/>
  <c r="AR96" i="1"/>
  <c r="AQ96" i="1"/>
  <c r="AQ95" i="1"/>
  <c r="AR95" i="1"/>
  <c r="AR94" i="1"/>
  <c r="AQ94" i="1"/>
  <c r="AS94" i="1" s="1"/>
  <c r="AT94" i="1" s="1"/>
  <c r="AU94" i="1" s="1"/>
  <c r="AR93" i="1"/>
  <c r="AQ93" i="1"/>
  <c r="AS93" i="1" s="1"/>
  <c r="AT93" i="1" s="1"/>
  <c r="AU93" i="1" s="1"/>
  <c r="AQ92" i="1"/>
  <c r="AR92" i="1"/>
  <c r="AQ75" i="1"/>
  <c r="AR75" i="1"/>
  <c r="AQ66" i="1"/>
  <c r="AR66" i="1"/>
  <c r="AR65" i="1"/>
  <c r="AR64" i="1"/>
  <c r="AR63" i="1"/>
  <c r="AR54" i="1"/>
  <c r="AQ54" i="1"/>
  <c r="AS54" i="1" s="1"/>
  <c r="AT54" i="1" s="1"/>
  <c r="AU54" i="1" s="1"/>
  <c r="AG46" i="1"/>
  <c r="AG45" i="1"/>
  <c r="AG44" i="1"/>
  <c r="AG43" i="1"/>
  <c r="AG42" i="1"/>
  <c r="AG55" i="1"/>
  <c r="AG56" i="1"/>
  <c r="AG37" i="1"/>
  <c r="AG36" i="1"/>
  <c r="AG35" i="1"/>
  <c r="AG34" i="1"/>
  <c r="AG33" i="1"/>
  <c r="AG32" i="1"/>
  <c r="AG31" i="1"/>
  <c r="AG30" i="1"/>
  <c r="AG57" i="1"/>
  <c r="AG58" i="1"/>
  <c r="AG59" i="1"/>
  <c r="AG60" i="1"/>
  <c r="AG25" i="1"/>
  <c r="AG24" i="1"/>
  <c r="AG23" i="1"/>
  <c r="AG22" i="1"/>
  <c r="AG21" i="1"/>
  <c r="AG20" i="1"/>
  <c r="AG19" i="1"/>
  <c r="AG61" i="1"/>
  <c r="AG17" i="1"/>
  <c r="AG62" i="1"/>
  <c r="AG67" i="1"/>
  <c r="AG68" i="1"/>
  <c r="AG69" i="1"/>
  <c r="AG70" i="1"/>
  <c r="AG71" i="1"/>
  <c r="AG72" i="1"/>
  <c r="AG78" i="1"/>
  <c r="AG77" i="1"/>
  <c r="AG73" i="1"/>
  <c r="AG74" i="1"/>
  <c r="AG80" i="1"/>
  <c r="AG81" i="1"/>
  <c r="AG49" i="1"/>
  <c r="AG82" i="1"/>
  <c r="AG83" i="1"/>
  <c r="AG84" i="1"/>
  <c r="AG90" i="1"/>
  <c r="AG85" i="1"/>
  <c r="AG86" i="1"/>
  <c r="AG87" i="1"/>
  <c r="AG76" i="1"/>
  <c r="AG79" i="1"/>
  <c r="AG89" i="1"/>
  <c r="AG91" i="1"/>
  <c r="AG48" i="1"/>
  <c r="AG88" i="1"/>
  <c r="AG47" i="1"/>
  <c r="AG18" i="1"/>
  <c r="AS64" i="1" l="1"/>
  <c r="AT64" i="1" s="1"/>
  <c r="AU64" i="1" s="1"/>
  <c r="AQ52" i="1"/>
  <c r="AR52" i="1"/>
  <c r="AR51" i="1"/>
  <c r="AQ51" i="1"/>
  <c r="AQ40" i="1"/>
  <c r="AR40" i="1"/>
  <c r="AQ29" i="1"/>
  <c r="AS29" i="1" s="1"/>
  <c r="AT29" i="1" s="1"/>
  <c r="AU29" i="1" s="1"/>
  <c r="AR29" i="1"/>
  <c r="AQ28" i="1"/>
  <c r="AR28" i="1"/>
  <c r="AQ27" i="1"/>
  <c r="AS27" i="1" s="1"/>
  <c r="AT27" i="1" s="1"/>
  <c r="AU27" i="1" s="1"/>
  <c r="AR27" i="1"/>
  <c r="AR26" i="1"/>
  <c r="AQ26" i="1"/>
  <c r="AS26" i="1" s="1"/>
  <c r="AT26" i="1" s="1"/>
  <c r="AU26" i="1" s="1"/>
  <c r="AR41" i="1"/>
  <c r="AQ41" i="1"/>
  <c r="AS41" i="1" s="1"/>
  <c r="AT41" i="1" s="1"/>
  <c r="AU41" i="1" s="1"/>
  <c r="AR53" i="1"/>
  <c r="AQ53" i="1"/>
  <c r="AS53" i="1" s="1"/>
  <c r="AT53" i="1" s="1"/>
  <c r="AU53" i="1" s="1"/>
  <c r="AQ39" i="1"/>
  <c r="AR39" i="1"/>
  <c r="AQ38" i="1"/>
  <c r="AR38" i="1"/>
  <c r="AS96" i="1"/>
  <c r="AT96" i="1" s="1"/>
  <c r="AU96" i="1" s="1"/>
  <c r="AR97" i="1"/>
  <c r="AQ97" i="1"/>
  <c r="AS97" i="1" s="1"/>
  <c r="AT97" i="1" s="1"/>
  <c r="AU97" i="1" s="1"/>
  <c r="AS65" i="1"/>
  <c r="AT65" i="1" s="1"/>
  <c r="AU65" i="1" s="1"/>
  <c r="AR50" i="1"/>
  <c r="AQ50" i="1"/>
  <c r="AS50" i="1" s="1"/>
  <c r="AT50" i="1" s="1"/>
  <c r="AU50" i="1" s="1"/>
  <c r="AS107" i="1"/>
  <c r="AT107" i="1" s="1"/>
  <c r="AU107" i="1" s="1"/>
  <c r="AS51" i="1"/>
  <c r="AT51" i="1" s="1"/>
  <c r="AU51" i="1" s="1"/>
  <c r="AR99" i="1"/>
  <c r="AQ99" i="1"/>
  <c r="AS99" i="1" s="1"/>
  <c r="AT99" i="1" s="1"/>
  <c r="AU99" i="1" s="1"/>
  <c r="AS101" i="1"/>
  <c r="AT101" i="1" s="1"/>
  <c r="AU101" i="1" s="1"/>
  <c r="AS102" i="1"/>
  <c r="AT102" i="1" s="1"/>
  <c r="AU102" i="1" s="1"/>
  <c r="AS52" i="1"/>
  <c r="AT52" i="1" s="1"/>
  <c r="AU52" i="1" s="1"/>
  <c r="AS28" i="1"/>
  <c r="AT28" i="1" s="1"/>
  <c r="AU28" i="1" s="1"/>
  <c r="AS100" i="1"/>
  <c r="AT100" i="1" s="1"/>
  <c r="AU100" i="1" s="1"/>
  <c r="AQ46" i="1"/>
  <c r="AR46" i="1"/>
  <c r="AQ45" i="1"/>
  <c r="AR45" i="1"/>
  <c r="AQ44" i="1"/>
  <c r="AR44" i="1"/>
  <c r="AQ43" i="1"/>
  <c r="AR43" i="1"/>
  <c r="AQ42" i="1"/>
  <c r="AR42" i="1"/>
  <c r="AQ55" i="1"/>
  <c r="AR55" i="1"/>
  <c r="AQ56" i="1"/>
  <c r="AR56" i="1"/>
  <c r="AR37" i="1"/>
  <c r="AQ37" i="1"/>
  <c r="AS37" i="1" s="1"/>
  <c r="AT37" i="1" s="1"/>
  <c r="AU37" i="1" s="1"/>
  <c r="AQ36" i="1"/>
  <c r="AR36" i="1"/>
  <c r="AQ35" i="1"/>
  <c r="AR35" i="1"/>
  <c r="AQ34" i="1"/>
  <c r="AR34" i="1"/>
  <c r="AQ33" i="1"/>
  <c r="AR33" i="1"/>
  <c r="AQ32" i="1"/>
  <c r="AR32" i="1"/>
  <c r="AQ31" i="1"/>
  <c r="AR31" i="1"/>
  <c r="AQ30" i="1"/>
  <c r="AR30" i="1"/>
  <c r="AQ57" i="1"/>
  <c r="AR57" i="1"/>
  <c r="AQ58" i="1"/>
  <c r="AR58" i="1"/>
  <c r="AQ59" i="1"/>
  <c r="AR59" i="1"/>
  <c r="AQ60" i="1"/>
  <c r="AR60" i="1"/>
  <c r="AR25" i="1"/>
  <c r="AQ25" i="1"/>
  <c r="AS25" i="1" s="1"/>
  <c r="AT25" i="1" s="1"/>
  <c r="AU25" i="1" s="1"/>
  <c r="AQ24" i="1"/>
  <c r="AR24" i="1"/>
  <c r="AQ23" i="1"/>
  <c r="AR23" i="1"/>
  <c r="AQ22" i="1"/>
  <c r="AR22" i="1"/>
  <c r="AQ21" i="1"/>
  <c r="AR21" i="1"/>
  <c r="AQ20" i="1"/>
  <c r="AR20" i="1"/>
  <c r="AQ19" i="1"/>
  <c r="AR19" i="1"/>
  <c r="AQ61" i="1"/>
  <c r="AR61" i="1"/>
  <c r="AQ17" i="1"/>
  <c r="AR17" i="1"/>
  <c r="AQ62" i="1"/>
  <c r="AR62" i="1"/>
  <c r="AQ67" i="1"/>
  <c r="AR67" i="1"/>
  <c r="AQ68" i="1"/>
  <c r="AR68" i="1"/>
  <c r="AQ69" i="1"/>
  <c r="AR69" i="1"/>
  <c r="AQ70" i="1"/>
  <c r="AR70" i="1"/>
  <c r="AQ71" i="1"/>
  <c r="AR71" i="1"/>
  <c r="AQ72" i="1"/>
  <c r="AR72" i="1"/>
  <c r="AQ78" i="1"/>
  <c r="AR78" i="1"/>
  <c r="AR77" i="1"/>
  <c r="AQ77" i="1"/>
  <c r="AQ73" i="1"/>
  <c r="AR73" i="1"/>
  <c r="AQ74" i="1"/>
  <c r="AR74" i="1"/>
  <c r="AQ80" i="1"/>
  <c r="AR80" i="1"/>
  <c r="AQ81" i="1"/>
  <c r="AR81" i="1"/>
  <c r="AQ49" i="1"/>
  <c r="AR49" i="1"/>
  <c r="AQ82" i="1"/>
  <c r="AR82" i="1"/>
  <c r="AQ83" i="1"/>
  <c r="AR83" i="1"/>
  <c r="AQ84" i="1"/>
  <c r="AR84" i="1"/>
  <c r="AQ90" i="1"/>
  <c r="AR90" i="1"/>
  <c r="AQ85" i="1"/>
  <c r="AR85" i="1"/>
  <c r="AQ86" i="1"/>
  <c r="AR86" i="1"/>
  <c r="AR87" i="1"/>
  <c r="AQ87" i="1"/>
  <c r="AS87" i="1" s="1"/>
  <c r="AT87" i="1" s="1"/>
  <c r="AU87" i="1" s="1"/>
  <c r="AQ76" i="1"/>
  <c r="AR76" i="1"/>
  <c r="AQ79" i="1"/>
  <c r="AR79" i="1"/>
  <c r="AR89" i="1"/>
  <c r="AQ89" i="1"/>
  <c r="AS89" i="1" s="1"/>
  <c r="AT89" i="1" s="1"/>
  <c r="AU89" i="1" s="1"/>
  <c r="AQ91" i="1"/>
  <c r="AR91" i="1"/>
  <c r="AQ48" i="1"/>
  <c r="AR48" i="1"/>
  <c r="AQ88" i="1"/>
  <c r="AR88" i="1"/>
  <c r="AQ47" i="1"/>
  <c r="AR47" i="1"/>
  <c r="AQ18" i="1"/>
  <c r="AR18" i="1"/>
  <c r="AS105" i="1"/>
  <c r="AT105" i="1" s="1"/>
  <c r="AU105" i="1" s="1"/>
  <c r="AS104" i="1"/>
  <c r="AT104" i="1" s="1"/>
  <c r="AU104" i="1" s="1"/>
  <c r="AS98" i="1"/>
  <c r="AT98" i="1" s="1"/>
  <c r="AU98" i="1" s="1"/>
  <c r="AS95" i="1"/>
  <c r="AT95" i="1" s="1"/>
  <c r="AU95" i="1" s="1"/>
  <c r="AS92" i="1"/>
  <c r="AT92" i="1" s="1"/>
  <c r="AU92" i="1" s="1"/>
  <c r="AS75" i="1"/>
  <c r="AT75" i="1" s="1"/>
  <c r="AU75" i="1" s="1"/>
  <c r="AS66" i="1"/>
  <c r="AT66" i="1" s="1"/>
  <c r="AU66" i="1" s="1"/>
  <c r="AS63" i="1"/>
  <c r="AT63" i="1" s="1"/>
  <c r="AU63" i="1" s="1"/>
  <c r="AS40" i="1"/>
  <c r="AT40" i="1" s="1"/>
  <c r="AU40" i="1" s="1"/>
  <c r="AS39" i="1"/>
  <c r="AT39" i="1" s="1"/>
  <c r="AU39" i="1" s="1"/>
  <c r="AS38" i="1"/>
  <c r="AT38" i="1" s="1"/>
  <c r="AU38" i="1" s="1"/>
  <c r="AS110" i="1"/>
  <c r="AT110" i="1" s="1"/>
  <c r="AU110" i="1" s="1"/>
  <c r="AS106" i="1"/>
  <c r="AT106" i="1" s="1"/>
  <c r="AU106" i="1" s="1"/>
  <c r="AS77" i="1" l="1"/>
  <c r="AT77" i="1" s="1"/>
  <c r="AU77" i="1" s="1"/>
  <c r="AS49" i="1"/>
  <c r="AT49" i="1" s="1"/>
  <c r="AU49" i="1" s="1"/>
  <c r="AS71" i="1"/>
  <c r="AT71" i="1" s="1"/>
  <c r="AU71" i="1" s="1"/>
  <c r="AS22" i="1"/>
  <c r="AT22" i="1" s="1"/>
  <c r="AU22" i="1" s="1"/>
  <c r="AS90" i="1"/>
  <c r="AT90" i="1" s="1"/>
  <c r="AU90" i="1" s="1"/>
  <c r="AS85" i="1"/>
  <c r="AT85" i="1" s="1"/>
  <c r="AU85" i="1" s="1"/>
  <c r="AS48" i="1"/>
  <c r="AT48" i="1" s="1"/>
  <c r="AU48" i="1" s="1"/>
  <c r="AS88" i="1"/>
  <c r="AT88" i="1" s="1"/>
  <c r="AU88" i="1" s="1"/>
  <c r="AS47" i="1"/>
  <c r="AT47" i="1" s="1"/>
  <c r="AU47" i="1" s="1"/>
  <c r="AS69" i="1"/>
  <c r="AT69" i="1" s="1"/>
  <c r="AU69" i="1" s="1"/>
  <c r="AS70" i="1"/>
  <c r="AT70" i="1" s="1"/>
  <c r="AU70" i="1" s="1"/>
  <c r="AS73" i="1"/>
  <c r="AT73" i="1" s="1"/>
  <c r="AU73" i="1" s="1"/>
  <c r="AS80" i="1"/>
  <c r="AT80" i="1" s="1"/>
  <c r="AU80" i="1" s="1"/>
  <c r="AS81" i="1"/>
  <c r="AT81" i="1" s="1"/>
  <c r="AU81" i="1" s="1"/>
  <c r="AS86" i="1"/>
  <c r="AT86" i="1" s="1"/>
  <c r="AU86" i="1" s="1"/>
  <c r="AS82" i="1"/>
  <c r="AT82" i="1" s="1"/>
  <c r="AU82" i="1" s="1"/>
  <c r="AS83" i="1"/>
  <c r="AT83" i="1" s="1"/>
  <c r="AU83" i="1" s="1"/>
  <c r="AS76" i="1"/>
  <c r="AT76" i="1" s="1"/>
  <c r="AU76" i="1" s="1"/>
  <c r="AS18" i="1"/>
  <c r="AT18" i="1" s="1"/>
  <c r="AU18" i="1" s="1"/>
  <c r="AS19" i="1"/>
  <c r="AT19" i="1" s="1"/>
  <c r="AU19" i="1" s="1"/>
  <c r="AS62" i="1"/>
  <c r="AT62" i="1" s="1"/>
  <c r="AU62" i="1" s="1"/>
  <c r="AS68" i="1"/>
  <c r="AT68" i="1" s="1"/>
  <c r="AU68" i="1" s="1"/>
  <c r="AS74" i="1"/>
  <c r="AT74" i="1" s="1"/>
  <c r="AU74" i="1" s="1"/>
  <c r="AS84" i="1"/>
  <c r="AT84" i="1" s="1"/>
  <c r="AU84" i="1" s="1"/>
  <c r="AS79" i="1"/>
  <c r="AT79" i="1" s="1"/>
  <c r="AU79" i="1" s="1"/>
  <c r="AS91" i="1"/>
  <c r="AT91" i="1" s="1"/>
  <c r="AU91" i="1" s="1"/>
  <c r="AS36" i="1"/>
  <c r="AT36" i="1" s="1"/>
  <c r="AU36" i="1" s="1"/>
  <c r="AS35" i="1"/>
  <c r="AT35" i="1" s="1"/>
  <c r="AU35" i="1" s="1"/>
  <c r="AS34" i="1"/>
  <c r="AT34" i="1" s="1"/>
  <c r="AU34" i="1" s="1"/>
  <c r="AS33" i="1"/>
  <c r="AT33" i="1" s="1"/>
  <c r="AU33" i="1" s="1"/>
  <c r="AS32" i="1"/>
  <c r="AT32" i="1" s="1"/>
  <c r="AU32" i="1" s="1"/>
  <c r="AS31" i="1"/>
  <c r="AT31" i="1" s="1"/>
  <c r="AU31" i="1" s="1"/>
  <c r="AS30" i="1"/>
  <c r="AT30" i="1" s="1"/>
  <c r="AU30" i="1" s="1"/>
  <c r="AS57" i="1"/>
  <c r="AT57" i="1" s="1"/>
  <c r="AU57" i="1" s="1"/>
  <c r="AS58" i="1"/>
  <c r="AT58" i="1" s="1"/>
  <c r="AU58" i="1" s="1"/>
  <c r="AS59" i="1"/>
  <c r="AT59" i="1" s="1"/>
  <c r="AU59" i="1" s="1"/>
  <c r="AS60" i="1"/>
  <c r="AT60" i="1" s="1"/>
  <c r="AU60" i="1" s="1"/>
  <c r="AS61" i="1"/>
  <c r="AT61" i="1" s="1"/>
  <c r="AU61" i="1" s="1"/>
  <c r="AS17" i="1"/>
  <c r="AT17" i="1" s="1"/>
  <c r="AU17" i="1" s="1"/>
  <c r="AS72" i="1"/>
  <c r="AT72" i="1" s="1"/>
  <c r="AU72" i="1" s="1"/>
  <c r="AS78" i="1"/>
  <c r="AT78" i="1" s="1"/>
  <c r="AU78" i="1" s="1"/>
  <c r="AS46" i="1"/>
  <c r="AT46" i="1" s="1"/>
  <c r="AU46" i="1" s="1"/>
  <c r="AS45" i="1"/>
  <c r="AT45" i="1" s="1"/>
  <c r="AU45" i="1" s="1"/>
  <c r="AS44" i="1"/>
  <c r="AT44" i="1" s="1"/>
  <c r="AU44" i="1" s="1"/>
  <c r="AS43" i="1"/>
  <c r="AT43" i="1" s="1"/>
  <c r="AU43" i="1" s="1"/>
  <c r="AS42" i="1"/>
  <c r="AT42" i="1" s="1"/>
  <c r="AU42" i="1" s="1"/>
  <c r="AS55" i="1"/>
  <c r="AT55" i="1" s="1"/>
  <c r="AU55" i="1" s="1"/>
  <c r="AS56" i="1"/>
  <c r="AT56" i="1" s="1"/>
  <c r="AU56" i="1" s="1"/>
  <c r="AS24" i="1"/>
  <c r="AT24" i="1" s="1"/>
  <c r="AU24" i="1" s="1"/>
  <c r="AS23" i="1"/>
  <c r="AT23" i="1" s="1"/>
  <c r="AU23" i="1" s="1"/>
  <c r="AS21" i="1"/>
  <c r="AT21" i="1" s="1"/>
  <c r="AU21" i="1" s="1"/>
  <c r="AS20" i="1"/>
  <c r="AT20" i="1" s="1"/>
  <c r="AU20" i="1" s="1"/>
  <c r="AS67" i="1"/>
  <c r="AT67" i="1" s="1"/>
  <c r="AU6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G13" authorId="0" shapeId="0" xr:uid="{44A47CBC-74CA-467F-911A-0B4EB38FB12B}">
      <text>
        <r>
          <rPr>
            <b/>
            <sz val="9"/>
            <color indexed="81"/>
            <rFont val="Tahoma"/>
            <charset val="1"/>
          </rPr>
          <t>Pulang jam 11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13" authorId="0" shapeId="0" xr:uid="{6C7703E7-8FFC-431F-A909-FB246C5DFF32}">
      <text>
        <r>
          <rPr>
            <b/>
            <sz val="9"/>
            <color indexed="81"/>
            <rFont val="Tahoma"/>
            <family val="2"/>
          </rPr>
          <t>mati lampu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4C88247E-2870-413F-A333-E14F552E91A1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17" authorId="0" shapeId="0" xr:uid="{DC0BFDAB-C84E-45B4-B2DC-741C8FC0CD84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17" authorId="0" shapeId="0" xr:uid="{DFB3FD05-C9BB-4CEA-90CF-191C5A911AA5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17" authorId="0" shapeId="0" xr:uid="{68F7AD48-2474-40DB-97BD-D9DF7FE6C813}">
      <text>
        <r>
          <rPr>
            <b/>
            <sz val="9"/>
            <color indexed="81"/>
            <rFont val="Tahoma"/>
            <charset val="1"/>
          </rPr>
          <t>Vertigo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T17" authorId="0" shapeId="0" xr:uid="{5810FBA0-7E56-4FA2-9E07-BE45CA069CCB}">
      <text>
        <r>
          <rPr>
            <b/>
            <sz val="9"/>
            <color indexed="81"/>
            <rFont val="Tahoma"/>
            <charset val="1"/>
          </rPr>
          <t>Vertigo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U17" authorId="0" shapeId="0" xr:uid="{837C77FC-3597-4230-ABAB-049A3FE42C97}">
      <text>
        <r>
          <rPr>
            <b/>
            <sz val="9"/>
            <color indexed="81"/>
            <rFont val="Tahoma"/>
            <charset val="1"/>
          </rPr>
          <t>Vertigo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9" authorId="0" shapeId="0" xr:uid="{F0156A90-E400-40F2-A9EB-CBAC399E03D7}">
      <text>
        <r>
          <rPr>
            <b/>
            <sz val="9"/>
            <color indexed="81"/>
            <rFont val="Tahoma"/>
            <charset val="1"/>
          </rPr>
          <t>07,31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9" authorId="0" shapeId="0" xr:uid="{4ABDA194-17F6-4049-A4F5-7F1FF3E88ADB}">
      <text>
        <r>
          <rPr>
            <b/>
            <sz val="9"/>
            <color indexed="81"/>
            <rFont val="Tahoma"/>
            <charset val="1"/>
          </rPr>
          <t>07,34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19" authorId="0" shapeId="0" xr:uid="{39EE10D9-9E77-4011-AD2A-4034CE7A57D6}">
      <text>
        <r>
          <rPr>
            <b/>
            <sz val="9"/>
            <color indexed="81"/>
            <rFont val="Tahoma"/>
            <charset val="1"/>
          </rPr>
          <t>07,32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19" authorId="0" shapeId="0" xr:uid="{B5D34950-5200-4A4A-9908-78DAD28A8EE6}">
      <text>
        <r>
          <rPr>
            <b/>
            <sz val="9"/>
            <color indexed="81"/>
            <rFont val="Tahoma"/>
            <charset val="1"/>
          </rPr>
          <t>07,31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20" authorId="0" shapeId="0" xr:uid="{25FF36D9-6464-479F-9D42-59BA1E97374E}">
      <text>
        <r>
          <rPr>
            <b/>
            <sz val="9"/>
            <color indexed="81"/>
            <rFont val="Tahoma"/>
            <charset val="1"/>
          </rPr>
          <t>suami sakit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20" authorId="0" shapeId="0" xr:uid="{D9F772E0-7206-4A01-BF10-CE96F16C6774}">
      <text>
        <r>
          <rPr>
            <b/>
            <sz val="9"/>
            <color indexed="81"/>
            <rFont val="Tahoma"/>
            <charset val="1"/>
          </rPr>
          <t>07,44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20" authorId="0" shapeId="0" xr:uid="{D13856B8-B0A6-41CF-B7B9-B63D589C2CB4}">
      <text>
        <r>
          <rPr>
            <b/>
            <sz val="9"/>
            <color indexed="81"/>
            <rFont val="Tahoma"/>
            <family val="2"/>
          </rPr>
          <t>07,51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1" authorId="0" shapeId="0" xr:uid="{4A7B412B-95FB-4024-9E72-93BC5E3725DB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21" authorId="0" shapeId="0" xr:uid="{9DD00084-6659-4F9C-88C7-FD392D979628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1" authorId="0" shapeId="0" xr:uid="{F43B768E-C8CC-4DD2-B53E-BCE32DC4994E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21" authorId="0" shapeId="0" xr:uid="{AD801096-4E00-4011-80F8-E5BA786ED605}">
      <text>
        <r>
          <rPr>
            <b/>
            <sz val="9"/>
            <color indexed="81"/>
            <rFont val="Tahoma"/>
            <charset val="1"/>
          </rPr>
          <t>istri sakit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22" authorId="0" shapeId="0" xr:uid="{8CAAF2A4-F295-4FE5-9D98-454C347E449D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22" authorId="0" shapeId="0" xr:uid="{41CF564E-D8D0-4D32-B4ED-9BDB8E17D802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22" authorId="0" shapeId="0" xr:uid="{C27BD40D-ABC4-4B10-8D9E-A68B7AF31EB6}">
      <text>
        <r>
          <rPr>
            <b/>
            <sz val="9"/>
            <color indexed="81"/>
            <rFont val="Tahoma"/>
            <family val="2"/>
          </rPr>
          <t>07,50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22" authorId="0" shapeId="0" xr:uid="{FE66B58E-8396-46F7-B5CD-BC8F45B04904}">
      <text>
        <r>
          <rPr>
            <b/>
            <sz val="9"/>
            <color indexed="81"/>
            <rFont val="Tahoma"/>
            <charset val="1"/>
          </rPr>
          <t>07,51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4" authorId="0" shapeId="0" xr:uid="{0EF890D6-2164-44AD-BC19-706EA4CBA072}">
      <text>
        <r>
          <rPr>
            <b/>
            <sz val="9"/>
            <color indexed="81"/>
            <rFont val="Tahoma"/>
            <charset val="1"/>
          </rPr>
          <t>07,34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24" authorId="0" shapeId="0" xr:uid="{6F121E5A-A01C-4451-B833-77B7343D4C55}">
      <text>
        <r>
          <rPr>
            <b/>
            <sz val="9"/>
            <color indexed="81"/>
            <rFont val="Tahoma"/>
            <charset val="1"/>
          </rPr>
          <t>07,31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24" authorId="0" shapeId="0" xr:uid="{485B5C13-F480-4E53-82D9-955DB788A631}">
      <text>
        <r>
          <rPr>
            <b/>
            <sz val="9"/>
            <color indexed="81"/>
            <rFont val="Tahoma"/>
            <charset val="1"/>
          </rPr>
          <t>wisuda anak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24" authorId="0" shapeId="0" xr:uid="{D0BD85DA-DF33-4DD7-A83C-A028EE6EBF9C}">
      <text>
        <r>
          <rPr>
            <b/>
            <sz val="9"/>
            <color indexed="81"/>
            <rFont val="Tahoma"/>
            <charset val="1"/>
          </rPr>
          <t>07,35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25" authorId="0" shapeId="0" xr:uid="{5DC2056A-08D7-4947-9613-AEC894D9D7FC}">
      <text>
        <r>
          <rPr>
            <b/>
            <sz val="9"/>
            <color indexed="81"/>
            <rFont val="Tahoma"/>
            <charset val="1"/>
          </rPr>
          <t>08,17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5" authorId="0" shapeId="0" xr:uid="{92C8685B-9A31-4CC5-B4A2-1F36643ACF29}">
      <text>
        <r>
          <rPr>
            <b/>
            <sz val="9"/>
            <color indexed="81"/>
            <rFont val="Tahoma"/>
            <charset val="1"/>
          </rPr>
          <t>07,31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5" authorId="0" shapeId="0" xr:uid="{4B9A0F22-A028-48AF-8777-D332C7958E28}">
      <text>
        <r>
          <rPr>
            <b/>
            <sz val="9"/>
            <color indexed="81"/>
            <rFont val="Tahoma"/>
            <charset val="1"/>
          </rPr>
          <t>07,53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25" authorId="0" shapeId="0" xr:uid="{7A28B510-4A2B-4889-9A5A-44A25757C671}">
      <text>
        <r>
          <rPr>
            <b/>
            <sz val="9"/>
            <color indexed="81"/>
            <rFont val="Tahoma"/>
            <family val="2"/>
          </rPr>
          <t>07,47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" authorId="0" shapeId="0" xr:uid="{7156B43C-B210-406B-AE78-CC1C16B47237}">
      <text>
        <r>
          <rPr>
            <b/>
            <sz val="9"/>
            <color indexed="81"/>
            <rFont val="Tahoma"/>
            <charset val="1"/>
          </rPr>
          <t>pra keberangkatan / Pre Departure Training (PDT)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7" authorId="0" shapeId="0" xr:uid="{86471155-846B-423F-80B4-7C8EA5C48F16}">
      <text>
        <r>
          <rPr>
            <b/>
            <sz val="9"/>
            <color indexed="81"/>
            <rFont val="Tahoma"/>
            <charset val="1"/>
          </rPr>
          <t>pra keberangkatan / Pre Departure Training (PDT)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7" authorId="0" shapeId="0" xr:uid="{646734A7-1410-4983-B7D8-3DD0DEB9E549}">
      <text>
        <r>
          <rPr>
            <b/>
            <sz val="9"/>
            <color indexed="81"/>
            <rFont val="Tahoma"/>
            <charset val="1"/>
          </rPr>
          <t>pra keberangkatan / Pre Departure Training (PDT)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7" authorId="0" shapeId="0" xr:uid="{F2CA52D1-40DF-4FDD-B5D7-B386E5685C95}">
      <text>
        <r>
          <rPr>
            <b/>
            <sz val="9"/>
            <color indexed="81"/>
            <rFont val="Tahoma"/>
            <charset val="1"/>
          </rPr>
          <t>pra keberangkatan / Pre Departure Training (PDT)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9" authorId="0" shapeId="0" xr:uid="{D78D0534-025C-4165-815E-75853A7BC46F}">
      <text>
        <r>
          <rPr>
            <b/>
            <sz val="9"/>
            <color indexed="81"/>
            <rFont val="Tahoma"/>
            <charset val="1"/>
          </rPr>
          <t>07,38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29" authorId="0" shapeId="0" xr:uid="{7E4D26A7-6E16-4305-81D7-03307B4AA9DE}">
      <text>
        <r>
          <rPr>
            <b/>
            <sz val="9"/>
            <color indexed="81"/>
            <rFont val="Tahoma"/>
            <charset val="1"/>
          </rPr>
          <t>07,39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29" authorId="0" shapeId="0" xr:uid="{B2BB03A6-A0E6-4863-A51A-49BC060079A9}">
      <text>
        <r>
          <rPr>
            <b/>
            <sz val="9"/>
            <color indexed="81"/>
            <rFont val="Tahoma"/>
            <charset val="1"/>
          </rPr>
          <t>07,43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29" authorId="0" shapeId="0" xr:uid="{D7172EC7-DDD2-416E-B887-869E7718A758}">
      <text>
        <r>
          <rPr>
            <b/>
            <sz val="9"/>
            <color indexed="81"/>
            <rFont val="Tahoma"/>
            <charset val="1"/>
          </rPr>
          <t>07,42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29" authorId="0" shapeId="0" xr:uid="{B7AEDAD4-1550-413D-8F09-BFED674127DA}">
      <text>
        <r>
          <rPr>
            <b/>
            <sz val="9"/>
            <color indexed="81"/>
            <rFont val="Tahoma"/>
            <charset val="1"/>
          </rPr>
          <t>07,45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29" authorId="0" shapeId="0" xr:uid="{3A129AEC-455E-4E9C-8A95-5F7D9A290234}">
      <text>
        <r>
          <rPr>
            <b/>
            <sz val="9"/>
            <color indexed="81"/>
            <rFont val="Tahoma"/>
            <charset val="1"/>
          </rPr>
          <t>07,33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29" authorId="0" shapeId="0" xr:uid="{5B0C72CA-0E9A-480B-9AEC-957985720F64}">
      <text>
        <r>
          <rPr>
            <b/>
            <sz val="9"/>
            <color indexed="81"/>
            <rFont val="Tahoma"/>
            <charset val="1"/>
          </rPr>
          <t>07,46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29" authorId="0" shapeId="0" xr:uid="{2A1C1756-054B-465E-843E-DE38212E2D3A}">
      <text>
        <r>
          <rPr>
            <b/>
            <sz val="9"/>
            <color indexed="81"/>
            <rFont val="Tahoma"/>
            <charset val="1"/>
          </rPr>
          <t>07,40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29" authorId="0" shapeId="0" xr:uid="{DAC90935-04D7-437B-8456-A3B9763693B2}">
      <text>
        <r>
          <rPr>
            <b/>
            <sz val="9"/>
            <color indexed="81"/>
            <rFont val="Tahoma"/>
            <family val="2"/>
          </rPr>
          <t>07,55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B29" authorId="0" shapeId="0" xr:uid="{C7F77EC4-19C6-4A53-B451-8BA80CD80A1F}">
      <text>
        <r>
          <rPr>
            <b/>
            <sz val="9"/>
            <color indexed="81"/>
            <rFont val="Tahoma"/>
            <charset val="1"/>
          </rPr>
          <t>07,37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T31" authorId="0" shapeId="0" xr:uid="{7D59ECC2-3367-427B-8E65-2DE241B16BA0}">
      <text>
        <r>
          <rPr>
            <sz val="9"/>
            <color indexed="81"/>
            <rFont val="Tahoma"/>
            <charset val="1"/>
          </rPr>
          <t xml:space="preserve">ortu sakit
</t>
        </r>
      </text>
    </comment>
    <comment ref="S32" authorId="0" shapeId="0" xr:uid="{1EA4C33C-8B1D-4E95-B5A6-795D21AF0FB9}">
      <text>
        <r>
          <rPr>
            <b/>
            <sz val="9"/>
            <color indexed="81"/>
            <rFont val="Tahoma"/>
            <charset val="1"/>
          </rPr>
          <t xml:space="preserve">Bimtek Kepenulisan Berbasis Konten Budaya Lokal Sumsel dengan tema Lingkungan Alam, Sosial dan Budaya Sumsel oleh Dinas Perpustakaan Provinsi Sumatera Selatan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32" authorId="0" shapeId="0" xr:uid="{77B9E208-53CA-4368-9315-FFD68C646A47}">
      <text>
        <r>
          <rPr>
            <b/>
            <sz val="9"/>
            <color indexed="81"/>
            <rFont val="Tahoma"/>
            <charset val="1"/>
          </rPr>
          <t xml:space="preserve">Bimtek Kepenulisan Berbasis Konten Budaya Lokal Sumsel dengan tema Lingkungan Alam, Sosial dan Budaya Sumsel oleh Dinas Perpustakaan Provinsi Sumatera Selatan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33" authorId="0" shapeId="0" xr:uid="{D5311577-32AD-40BA-94CA-EF1CE552DD22}">
      <text>
        <r>
          <rPr>
            <b/>
            <sz val="9"/>
            <color indexed="81"/>
            <rFont val="Tahoma"/>
            <charset val="1"/>
          </rPr>
          <t>07,57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33" authorId="0" shapeId="0" xr:uid="{F00FDBF2-2530-4C56-A089-3E8826F44C97}">
      <text>
        <r>
          <rPr>
            <b/>
            <sz val="9"/>
            <color indexed="81"/>
            <rFont val="Tahoma"/>
            <family val="2"/>
          </rPr>
          <t>08,04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6" authorId="0" shapeId="0" xr:uid="{73338E72-44CC-4C33-B9C4-6E30D2371911}">
      <text>
        <r>
          <rPr>
            <b/>
            <sz val="9"/>
            <color indexed="81"/>
            <rFont val="Tahoma"/>
            <charset val="1"/>
          </rPr>
          <t>07,36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36" authorId="0" shapeId="0" xr:uid="{08056AE8-250F-4B86-AC0F-BCBE94514580}">
      <text>
        <r>
          <rPr>
            <b/>
            <sz val="9"/>
            <color indexed="81"/>
            <rFont val="Tahoma"/>
            <charset val="1"/>
          </rPr>
          <t>07,32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37" authorId="0" shapeId="0" xr:uid="{EF356203-BD3D-4D7A-992D-067941EF695E}">
      <text>
        <r>
          <rPr>
            <b/>
            <sz val="9"/>
            <color indexed="81"/>
            <rFont val="Tahoma"/>
            <family val="2"/>
          </rPr>
          <t>07,45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8" authorId="0" shapeId="0" xr:uid="{9C41D33B-56AE-4796-BE15-5F34414F742E}">
      <text>
        <r>
          <rPr>
            <sz val="9"/>
            <color indexed="81"/>
            <rFont val="Tahoma"/>
            <charset val="1"/>
          </rPr>
          <t xml:space="preserve">asma
</t>
        </r>
      </text>
    </comment>
    <comment ref="E38" authorId="0" shapeId="0" xr:uid="{0BA426AB-CF9C-4E0A-9728-2F305081B2D9}">
      <text>
        <r>
          <rPr>
            <b/>
            <sz val="9"/>
            <color indexed="81"/>
            <rFont val="Tahoma"/>
            <charset val="1"/>
          </rPr>
          <t>asma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38" authorId="0" shapeId="0" xr:uid="{9F5D5871-22AC-4D51-96DA-25CE27D1CFDF}">
      <text>
        <r>
          <rPr>
            <b/>
            <sz val="9"/>
            <color indexed="81"/>
            <rFont val="Tahoma"/>
            <charset val="1"/>
          </rPr>
          <t>07,40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38" authorId="0" shapeId="0" xr:uid="{0C177764-F59B-483B-9E18-B0DC109E00B5}">
      <text>
        <r>
          <rPr>
            <b/>
            <sz val="9"/>
            <color indexed="81"/>
            <rFont val="Tahoma"/>
            <family val="2"/>
          </rPr>
          <t>anak sakit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38" authorId="0" shapeId="0" xr:uid="{B8569F5A-D1A2-404E-A638-C71E9D215472}">
      <text>
        <r>
          <rPr>
            <b/>
            <sz val="9"/>
            <color indexed="81"/>
            <rFont val="Tahoma"/>
            <family val="2"/>
          </rPr>
          <t>07,57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Z39" authorId="0" shapeId="0" xr:uid="{719BA996-3EB9-4F71-878D-B1131B69F757}">
      <text>
        <r>
          <rPr>
            <b/>
            <sz val="9"/>
            <color indexed="81"/>
            <rFont val="Tahoma"/>
            <family val="2"/>
          </rPr>
          <t>08.38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7D3B8F6E-32B1-4937-8001-02301BAD20E7}">
      <text>
        <r>
          <rPr>
            <b/>
            <sz val="9"/>
            <color indexed="81"/>
            <rFont val="Tahoma"/>
            <charset val="1"/>
          </rPr>
          <t>OUT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41" authorId="0" shapeId="0" xr:uid="{85947AE9-52E5-4277-96B0-35EFA80F5676}">
      <text>
        <r>
          <rPr>
            <b/>
            <sz val="9"/>
            <color indexed="81"/>
            <rFont val="Tahoma"/>
            <charset val="1"/>
          </rPr>
          <t>07,38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41" authorId="0" shapeId="0" xr:uid="{6D2E9961-FDA9-4FFC-9EAB-BC343BF0B0D5}">
      <text>
        <r>
          <rPr>
            <b/>
            <sz val="9"/>
            <color indexed="81"/>
            <rFont val="Tahoma"/>
            <charset val="1"/>
          </rPr>
          <t>07,53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41" authorId="0" shapeId="0" xr:uid="{04286909-521E-49EF-BADB-F3DF5BD08F30}">
      <text>
        <r>
          <rPr>
            <b/>
            <sz val="9"/>
            <color indexed="81"/>
            <rFont val="Tahoma"/>
            <charset val="1"/>
          </rPr>
          <t>07,44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41" authorId="0" shapeId="0" xr:uid="{CF24CE17-B6A9-41E8-8572-02E19351678F}">
      <text>
        <r>
          <rPr>
            <b/>
            <sz val="9"/>
            <color indexed="81"/>
            <rFont val="Tahoma"/>
            <charset val="1"/>
          </rPr>
          <t>08,06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41" authorId="0" shapeId="0" xr:uid="{CCD3C843-B91C-40BC-811D-F23304D9E780}">
      <text>
        <r>
          <rPr>
            <b/>
            <sz val="9"/>
            <color indexed="81"/>
            <rFont val="Tahoma"/>
            <charset val="1"/>
          </rPr>
          <t>07,53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41" authorId="0" shapeId="0" xr:uid="{1E29774A-53C4-45C8-947E-4AB7313618EC}">
      <text>
        <r>
          <rPr>
            <b/>
            <sz val="9"/>
            <color indexed="81"/>
            <rFont val="Tahoma"/>
            <charset val="1"/>
          </rPr>
          <t>07,41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41" authorId="0" shapeId="0" xr:uid="{47C296AD-F0CF-45FC-B6A6-A3078FBE4F7E}">
      <text>
        <r>
          <rPr>
            <b/>
            <sz val="9"/>
            <color indexed="81"/>
            <rFont val="Tahoma"/>
            <family val="2"/>
          </rPr>
          <t>07,53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1" authorId="0" shapeId="0" xr:uid="{53A25603-E74B-48D3-8570-EBEE2E732614}">
      <text>
        <r>
          <rPr>
            <b/>
            <sz val="9"/>
            <color indexed="81"/>
            <rFont val="Tahoma"/>
            <charset val="1"/>
          </rPr>
          <t>07,44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41" authorId="0" shapeId="0" xr:uid="{FEE7D09E-5DA5-4646-91CF-246C82CD40E2}">
      <text>
        <r>
          <rPr>
            <b/>
            <sz val="9"/>
            <color indexed="81"/>
            <rFont val="Tahoma"/>
            <charset val="1"/>
          </rPr>
          <t>07,55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41" authorId="0" shapeId="0" xr:uid="{83C33F80-8373-4A53-8359-5B6619313B09}">
      <text>
        <r>
          <rPr>
            <b/>
            <sz val="9"/>
            <color indexed="81"/>
            <rFont val="Tahoma"/>
            <charset val="1"/>
          </rPr>
          <t>07,41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42" authorId="0" shapeId="0" xr:uid="{98E1F478-D035-4D8A-87BB-2729799783D6}">
      <text>
        <r>
          <rPr>
            <b/>
            <sz val="9"/>
            <color indexed="81"/>
            <rFont val="Tahoma"/>
            <charset val="1"/>
          </rPr>
          <t>07,39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42" authorId="0" shapeId="0" xr:uid="{134A978E-DF6D-4479-81E8-8CA7D7FD8050}">
      <text>
        <r>
          <rPr>
            <b/>
            <sz val="9"/>
            <color indexed="81"/>
            <rFont val="Tahoma"/>
            <charset val="1"/>
          </rPr>
          <t>07,54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42" authorId="0" shapeId="0" xr:uid="{90226D26-D1A3-4191-B54D-ABFA09409E80}">
      <text>
        <r>
          <rPr>
            <b/>
            <sz val="9"/>
            <color indexed="81"/>
            <rFont val="Tahoma"/>
            <charset val="1"/>
          </rPr>
          <t>07,33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42" authorId="0" shapeId="0" xr:uid="{614BF5C8-3903-458A-9687-536EA4B55E92}">
      <text>
        <r>
          <rPr>
            <b/>
            <sz val="9"/>
            <color indexed="81"/>
            <rFont val="Tahoma"/>
            <charset val="1"/>
          </rPr>
          <t>07,54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42" authorId="0" shapeId="0" xr:uid="{79EB20DA-6DFB-4CE4-ABEE-E84697BCC4C5}">
      <text>
        <r>
          <rPr>
            <b/>
            <sz val="9"/>
            <color indexed="81"/>
            <rFont val="Tahoma"/>
            <charset val="1"/>
          </rPr>
          <t>07,41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42" authorId="0" shapeId="0" xr:uid="{E77C719C-A7A7-4A3A-AA5F-9BAA0ACF236E}">
      <text>
        <r>
          <rPr>
            <b/>
            <sz val="9"/>
            <color indexed="81"/>
            <rFont val="Tahoma"/>
            <charset val="1"/>
          </rPr>
          <t>07,45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42" authorId="0" shapeId="0" xr:uid="{4359FFA6-7855-47F3-806C-21C0A16CB9FF}">
      <text>
        <r>
          <rPr>
            <b/>
            <sz val="9"/>
            <color indexed="81"/>
            <rFont val="Tahoma"/>
            <family val="2"/>
          </rPr>
          <t>08,07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42" authorId="0" shapeId="0" xr:uid="{816F0569-3310-4EAD-ABB0-F632B27CA00B}">
      <text>
        <r>
          <rPr>
            <b/>
            <sz val="9"/>
            <color indexed="81"/>
            <rFont val="Tahoma"/>
            <charset val="1"/>
          </rPr>
          <t>07,35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42" authorId="0" shapeId="0" xr:uid="{3A49258A-C1D6-4C18-A354-F80CCCB7AC31}">
      <text>
        <r>
          <rPr>
            <b/>
            <sz val="9"/>
            <color indexed="81"/>
            <rFont val="Tahoma"/>
            <charset val="1"/>
          </rPr>
          <t>07,40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43" authorId="0" shapeId="0" xr:uid="{928FC167-12EB-44A7-8739-C50943ECFAAB}">
      <text>
        <r>
          <rPr>
            <b/>
            <sz val="9"/>
            <color indexed="81"/>
            <rFont val="Tahoma"/>
            <charset val="1"/>
          </rPr>
          <t>07,39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44" authorId="0" shapeId="0" xr:uid="{EE312B30-9461-4A6A-B61E-380FEC965A9F}">
      <text>
        <r>
          <rPr>
            <b/>
            <sz val="9"/>
            <color indexed="81"/>
            <rFont val="Tahoma"/>
            <charset val="1"/>
          </rPr>
          <t>07,37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45" authorId="0" shapeId="0" xr:uid="{470CF52F-25E9-4B2A-BA85-5B6307684862}">
      <text>
        <r>
          <rPr>
            <b/>
            <sz val="9"/>
            <color indexed="81"/>
            <rFont val="Tahoma"/>
            <charset val="1"/>
          </rPr>
          <t>Plafon rumah roboh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45" authorId="0" shapeId="0" xr:uid="{508464E0-4F05-431E-BCF3-2FFCC3830E75}">
      <text>
        <r>
          <rPr>
            <b/>
            <sz val="9"/>
            <color indexed="81"/>
            <rFont val="Tahoma"/>
            <charset val="1"/>
          </rPr>
          <t>07,42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45" authorId="0" shapeId="0" xr:uid="{08E5B8EC-4205-457D-BC40-1C2FF85AD7B8}">
      <text>
        <r>
          <rPr>
            <b/>
            <sz val="9"/>
            <color indexed="81"/>
            <rFont val="Tahoma"/>
            <charset val="1"/>
          </rPr>
          <t>07,38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47" authorId="0" shapeId="0" xr:uid="{CD0EA67D-C4E3-4F4A-9B90-F0217B4544C0}">
      <text>
        <r>
          <rPr>
            <b/>
            <sz val="9"/>
            <color indexed="81"/>
            <rFont val="Tahoma"/>
            <family val="2"/>
          </rPr>
          <t>part time : selasa, rabu, jumat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49" authorId="0" shapeId="0" xr:uid="{94669D42-7EE7-49FD-98F5-7F56C05F14C2}">
      <text>
        <r>
          <rPr>
            <b/>
            <sz val="9"/>
            <color indexed="81"/>
            <rFont val="Tahoma"/>
            <family val="2"/>
          </rPr>
          <t>Jadwal masuk :
Senin - Kamis (07.30 - 12.00)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9" authorId="0" shapeId="0" xr:uid="{D2C22C75-23F6-48B0-BF93-DC6E11B99766}">
      <text>
        <r>
          <rPr>
            <b/>
            <sz val="9"/>
            <color indexed="81"/>
            <rFont val="Tahoma"/>
            <charset val="1"/>
          </rPr>
          <t>08,04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50" authorId="0" shapeId="0" xr:uid="{B70533CA-F15C-425E-8B64-E702E6968864}">
      <text>
        <r>
          <rPr>
            <b/>
            <sz val="9"/>
            <color indexed="81"/>
            <rFont val="Tahoma"/>
            <family val="2"/>
          </rPr>
          <t>Jadwal masuk :
Kamis - Jumat 
Full day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50" authorId="0" shapeId="0" xr:uid="{89B6E77B-7C77-4073-B962-DD7EF5BC0DE1}">
      <text>
        <r>
          <rPr>
            <sz val="9"/>
            <color indexed="81"/>
            <rFont val="Tahoma"/>
            <charset val="1"/>
          </rPr>
          <t xml:space="preserve">IN
</t>
        </r>
      </text>
    </comment>
    <comment ref="G50" authorId="0" shapeId="0" xr:uid="{D4756F94-64C1-4895-9B96-26E5D1EA6A0C}">
      <text>
        <r>
          <rPr>
            <b/>
            <sz val="9"/>
            <color indexed="81"/>
            <rFont val="Tahoma"/>
            <charset val="1"/>
          </rPr>
          <t>07,38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51" authorId="0" shapeId="0" xr:uid="{CF122107-E5BF-47F7-8A5F-49D3FD3D55A9}">
      <text>
        <r>
          <rPr>
            <b/>
            <sz val="9"/>
            <color indexed="81"/>
            <rFont val="Tahoma"/>
            <charset val="1"/>
          </rPr>
          <t>07,52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51" authorId="0" shapeId="0" xr:uid="{DC957049-B177-452A-A2AC-024C2F4E4E4A}">
      <text>
        <r>
          <rPr>
            <b/>
            <sz val="9"/>
            <color indexed="81"/>
            <rFont val="Tahoma"/>
            <charset val="1"/>
          </rPr>
          <t>07,31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Y51" authorId="0" shapeId="0" xr:uid="{A5AED62A-9A24-4C35-9FCB-4191267029A7}">
      <text>
        <r>
          <rPr>
            <b/>
            <sz val="9"/>
            <color indexed="81"/>
            <rFont val="Tahoma"/>
            <family val="2"/>
          </rPr>
          <t>sakit kaki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51" authorId="0" shapeId="0" xr:uid="{911141FC-3C08-4367-A537-8B9648F2AB8C}">
      <text>
        <r>
          <rPr>
            <b/>
            <sz val="9"/>
            <color indexed="81"/>
            <rFont val="Tahoma"/>
            <family val="2"/>
          </rPr>
          <t>07,34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52" authorId="0" shapeId="0" xr:uid="{50F57A0D-DD56-41FD-B67C-6A064A6005EF}">
      <text>
        <r>
          <rPr>
            <b/>
            <sz val="9"/>
            <color indexed="81"/>
            <rFont val="Tahoma"/>
            <charset val="1"/>
          </rPr>
          <t>menghadiri wisuda anak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53" authorId="0" shapeId="0" xr:uid="{3E9D8686-C998-44D5-A77A-4C6034E714BC}">
      <text>
        <r>
          <rPr>
            <b/>
            <sz val="9"/>
            <color indexed="81"/>
            <rFont val="Tahoma"/>
            <charset val="1"/>
          </rPr>
          <t>07,31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53" authorId="0" shapeId="0" xr:uid="{4915F208-0498-4B26-BCF4-249C153A2A2C}">
      <text>
        <r>
          <rPr>
            <b/>
            <sz val="9"/>
            <color indexed="81"/>
            <rFont val="Tahoma"/>
            <charset val="1"/>
          </rPr>
          <t>07,31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53" authorId="0" shapeId="0" xr:uid="{80D3847D-FCE1-4C49-A178-DADD2F38FD03}">
      <text>
        <r>
          <rPr>
            <b/>
            <sz val="9"/>
            <color indexed="81"/>
            <rFont val="Tahoma"/>
            <charset val="1"/>
          </rPr>
          <t>07,39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53" authorId="0" shapeId="0" xr:uid="{BD96B9AC-98FC-4604-B7EB-67D0AE4908B4}">
      <text>
        <r>
          <rPr>
            <b/>
            <sz val="9"/>
            <color indexed="81"/>
            <rFont val="Tahoma"/>
            <charset val="1"/>
          </rPr>
          <t>07,42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53" authorId="0" shapeId="0" xr:uid="{C81EFED5-766C-4294-920D-71D1615B9D4D}">
      <text>
        <r>
          <rPr>
            <b/>
            <sz val="9"/>
            <color indexed="81"/>
            <rFont val="Tahoma"/>
            <family val="2"/>
          </rPr>
          <t>anter anak dan istri ke puskesmas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4" authorId="0" shapeId="0" xr:uid="{745ECC1D-AE3D-4421-9898-7A7675B87602}">
      <text>
        <r>
          <rPr>
            <b/>
            <sz val="9"/>
            <color indexed="81"/>
            <rFont val="Tahoma"/>
            <charset val="1"/>
          </rPr>
          <t>Kontrol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54" authorId="0" shapeId="0" xr:uid="{B5CC9B5C-5F07-40B8-9CA6-140B1F572342}">
      <text>
        <r>
          <rPr>
            <b/>
            <sz val="9"/>
            <color indexed="81"/>
            <rFont val="Tahoma"/>
            <charset val="1"/>
          </rPr>
          <t>Operasi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54" authorId="0" shapeId="0" xr:uid="{AD757764-A381-468C-9B0E-417AFDBFEB52}">
      <text>
        <r>
          <rPr>
            <b/>
            <sz val="9"/>
            <color indexed="81"/>
            <rFont val="Tahoma"/>
            <charset val="1"/>
          </rPr>
          <t>Operasi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54" authorId="0" shapeId="0" xr:uid="{FDE5FB4A-0DCC-418C-B322-3A47A499E4DC}">
      <text>
        <r>
          <rPr>
            <b/>
            <sz val="9"/>
            <color indexed="81"/>
            <rFont val="Tahoma"/>
            <charset val="1"/>
          </rPr>
          <t>Operasi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54" authorId="0" shapeId="0" xr:uid="{124C39CB-D3E6-4DB0-80A7-6E67947A69AC}">
      <text>
        <r>
          <rPr>
            <b/>
            <sz val="9"/>
            <color indexed="81"/>
            <rFont val="Tahoma"/>
            <charset val="1"/>
          </rPr>
          <t>Pemulihan pasca operasi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54" authorId="0" shapeId="0" xr:uid="{4C39F94A-773A-4D8E-B05C-38364A7B5FA6}">
      <text>
        <r>
          <rPr>
            <b/>
            <sz val="9"/>
            <color indexed="81"/>
            <rFont val="Tahoma"/>
            <charset val="1"/>
          </rPr>
          <t>Pemulihan pasca operasi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54" authorId="0" shapeId="0" xr:uid="{AE88A0A7-2D4B-4AA5-AA68-096D4ACC265A}">
      <text>
        <r>
          <rPr>
            <b/>
            <sz val="9"/>
            <color indexed="81"/>
            <rFont val="Tahoma"/>
            <charset val="1"/>
          </rPr>
          <t>07,35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54" authorId="0" shapeId="0" xr:uid="{3112C658-95A5-4977-A025-34170DB3D534}">
      <text>
        <r>
          <rPr>
            <b/>
            <sz val="9"/>
            <color indexed="81"/>
            <rFont val="Tahoma"/>
            <charset val="1"/>
          </rPr>
          <t xml:space="preserve">wisuda tahfidz anak dan kontrol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55" authorId="0" shapeId="0" xr:uid="{BFB60B08-2AD3-4324-87BF-EAB444D5966E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55" authorId="0" shapeId="0" xr:uid="{F87B84CA-6856-48D1-985E-8BDA3F63FACB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55" authorId="0" shapeId="0" xr:uid="{6A096F9B-03C0-4ED7-B911-3A2F0267DB65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55" authorId="0" shapeId="0" xr:uid="{50E4BC72-9F60-4FE2-B284-98932E9CD970}">
      <text>
        <r>
          <rPr>
            <b/>
            <sz val="9"/>
            <color indexed="81"/>
            <rFont val="Tahoma"/>
            <charset val="1"/>
          </rPr>
          <t>anak dirawat di RS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56" authorId="0" shapeId="0" xr:uid="{F71FD569-D3BA-48F0-800C-4F98671EE41F}">
      <text>
        <r>
          <rPr>
            <b/>
            <sz val="9"/>
            <color indexed="81"/>
            <rFont val="Tahoma"/>
            <family val="2"/>
          </rPr>
          <t>07,52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59" authorId="0" shapeId="0" xr:uid="{78472B85-59D6-41D2-B9F0-C307867FFAF3}">
      <text>
        <r>
          <rPr>
            <b/>
            <sz val="9"/>
            <color indexed="81"/>
            <rFont val="Tahoma"/>
            <charset val="1"/>
          </rPr>
          <t>OUT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60" authorId="0" shapeId="0" xr:uid="{1433D10F-C26B-4808-B965-F2098AE3DFA4}">
      <text>
        <r>
          <rPr>
            <b/>
            <sz val="9"/>
            <color indexed="81"/>
            <rFont val="Tahoma"/>
            <charset val="1"/>
          </rPr>
          <t>Acer: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61" authorId="0" shapeId="0" xr:uid="{611EF713-7659-4EA4-96FA-C6974D832EDA}">
      <text>
        <r>
          <rPr>
            <b/>
            <sz val="9"/>
            <color indexed="81"/>
            <rFont val="Tahoma"/>
            <charset val="1"/>
          </rPr>
          <t>16,21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61" authorId="0" shapeId="0" xr:uid="{C7749D38-7C9C-40B7-8201-248A2072D106}">
      <text>
        <r>
          <rPr>
            <b/>
            <sz val="9"/>
            <color indexed="81"/>
            <rFont val="Tahoma"/>
            <charset val="1"/>
          </rPr>
          <t>sakit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61" authorId="0" shapeId="0" xr:uid="{6D3A5129-C9DB-4A82-9756-6E22B1D0A0CB}">
      <text>
        <r>
          <rPr>
            <b/>
            <sz val="9"/>
            <color indexed="81"/>
            <rFont val="Tahoma"/>
            <charset val="1"/>
          </rPr>
          <t>16,04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67" authorId="0" shapeId="0" xr:uid="{780A33B7-62BB-4C0E-94C7-F5C056CED11D}">
      <text>
        <r>
          <rPr>
            <b/>
            <sz val="9"/>
            <color indexed="81"/>
            <rFont val="Tahoma"/>
            <charset val="1"/>
          </rPr>
          <t>OFF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67" authorId="0" shapeId="0" xr:uid="{43203976-D5E6-42AF-9768-7B1176DF4BE8}">
      <text>
        <r>
          <rPr>
            <b/>
            <sz val="9"/>
            <color indexed="81"/>
            <rFont val="Tahoma"/>
            <charset val="1"/>
          </rPr>
          <t>OUT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S67" authorId="0" shapeId="0" xr:uid="{71513DB0-2686-4746-9B90-FFF3955D7D21}">
      <text>
        <r>
          <rPr>
            <b/>
            <sz val="9"/>
            <color indexed="81"/>
            <rFont val="Tahoma"/>
            <charset val="1"/>
          </rPr>
          <t xml:space="preserve">Bimtek Kepenulisan Berbasis Konten Budaya Lokal Sumsel dengan tema Lingkungan Alam, Sosial dan Budaya Sumsel oleh Dinas Perpustakaan Provinsi Sumatera Selatan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Z67" authorId="0" shapeId="0" xr:uid="{8A62E0F2-FD97-4649-B891-5F400456C7AE}">
      <text>
        <r>
          <rPr>
            <b/>
            <sz val="9"/>
            <color indexed="81"/>
            <rFont val="Tahoma"/>
            <charset val="1"/>
          </rPr>
          <t xml:space="preserve">Bimtek Kepenulisan Berbasis Konten Budaya Lokal Sumsel dengan tema Lingkungan Alam, Sosial dan Budaya Sumsel oleh Dinas Perpustakaan Provinsi Sumatera Selatan 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67" authorId="0" shapeId="0" xr:uid="{92EF23FE-A057-4D1B-BB71-443E148A7537}">
      <text>
        <r>
          <rPr>
            <b/>
            <sz val="9"/>
            <color indexed="81"/>
            <rFont val="Tahoma"/>
            <charset val="1"/>
          </rPr>
          <t>07,34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68" authorId="0" shapeId="0" xr:uid="{3D5936B7-2C11-4726-BC4B-411FF9C763F9}">
      <text>
        <r>
          <rPr>
            <b/>
            <sz val="9"/>
            <color indexed="81"/>
            <rFont val="Tahoma"/>
            <charset val="1"/>
          </rPr>
          <t>07,42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68" authorId="0" shapeId="0" xr:uid="{25D23AB4-323A-480B-AEFB-F38889263755}">
      <text>
        <r>
          <rPr>
            <b/>
            <sz val="9"/>
            <color indexed="81"/>
            <rFont val="Tahoma"/>
            <charset val="1"/>
          </rPr>
          <t>07,34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68" authorId="0" shapeId="0" xr:uid="{810536A3-7AD2-4D8A-8DF2-45269EEB0E4B}">
      <text>
        <r>
          <rPr>
            <b/>
            <sz val="9"/>
            <color indexed="81"/>
            <rFont val="Tahoma"/>
            <charset val="1"/>
          </rPr>
          <t>07,36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68" authorId="0" shapeId="0" xr:uid="{7CFA8E93-4C21-4816-B07A-F1EF006A7803}">
      <text>
        <r>
          <rPr>
            <b/>
            <sz val="9"/>
            <color indexed="81"/>
            <rFont val="Tahoma"/>
            <charset val="1"/>
          </rPr>
          <t>07,35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69" authorId="0" shapeId="0" xr:uid="{78BFF3EF-FBEB-4D2D-A943-8B7F74184AE7}">
      <text>
        <r>
          <rPr>
            <b/>
            <sz val="9"/>
            <color indexed="81"/>
            <rFont val="Tahoma"/>
            <family val="2"/>
          </rPr>
          <t>PAGI : 07.30 -16.30
SORE : 16.00 - 08.00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71" authorId="0" shapeId="0" xr:uid="{09CE62B0-1621-4147-94C9-EC6991EBBCCF}">
      <text>
        <r>
          <rPr>
            <b/>
            <sz val="9"/>
            <color indexed="81"/>
            <rFont val="Tahoma"/>
            <family val="2"/>
          </rPr>
          <t>07,38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71" authorId="0" shapeId="0" xr:uid="{37DA6F0F-81FC-4FA6-85BE-AB4DC35E9673}">
      <text>
        <r>
          <rPr>
            <b/>
            <sz val="9"/>
            <color indexed="81"/>
            <rFont val="Tahoma"/>
            <family val="2"/>
          </rPr>
          <t>07,32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71" authorId="0" shapeId="0" xr:uid="{6DA2B31D-0C2F-4824-BCAA-5B9AD39AE5A1}">
      <text>
        <r>
          <rPr>
            <b/>
            <sz val="9"/>
            <color indexed="81"/>
            <rFont val="Tahoma"/>
            <family val="2"/>
          </rPr>
          <t>07,34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71" authorId="0" shapeId="0" xr:uid="{73F22C15-0248-450D-A5C4-02B270B215B3}">
      <text>
        <r>
          <rPr>
            <b/>
            <sz val="9"/>
            <color indexed="81"/>
            <rFont val="Tahoma"/>
            <charset val="1"/>
          </rPr>
          <t>07,35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A71" authorId="0" shapeId="0" xr:uid="{75FAC8C3-5970-42E5-B2BF-12FE200C6CB2}">
      <text>
        <r>
          <rPr>
            <b/>
            <sz val="9"/>
            <color indexed="81"/>
            <rFont val="Tahoma"/>
            <charset val="1"/>
          </rPr>
          <t>07,38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71" authorId="0" shapeId="0" xr:uid="{DA1ACF24-3473-4C2C-873E-2C48270AB2EE}">
      <text>
        <r>
          <rPr>
            <b/>
            <sz val="9"/>
            <color indexed="81"/>
            <rFont val="Tahoma"/>
            <charset val="1"/>
          </rPr>
          <t>07,37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72" authorId="0" shapeId="0" xr:uid="{D51D45FB-6E11-48DF-AB4F-64211AED5AC6}">
      <text>
        <r>
          <rPr>
            <b/>
            <sz val="9"/>
            <color indexed="81"/>
            <rFont val="Tahoma"/>
            <charset val="1"/>
          </rPr>
          <t>07,36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72" authorId="0" shapeId="0" xr:uid="{F7773D56-3AEF-40C1-80DB-BB354E0E1BE4}">
      <text>
        <r>
          <rPr>
            <b/>
            <sz val="9"/>
            <color indexed="81"/>
            <rFont val="Tahoma"/>
            <charset val="1"/>
          </rPr>
          <t>07,31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72" authorId="0" shapeId="0" xr:uid="{B9B4EFDA-B28F-43E1-864E-D219E4618DD2}">
      <text>
        <r>
          <rPr>
            <b/>
            <sz val="9"/>
            <color indexed="81"/>
            <rFont val="Tahoma"/>
            <charset val="1"/>
          </rPr>
          <t>07,36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X73" authorId="0" shapeId="0" xr:uid="{DAA1A4D1-EC00-4837-840D-C0FBEC151B31}">
      <text>
        <r>
          <rPr>
            <sz val="9"/>
            <color indexed="81"/>
            <rFont val="Tahoma"/>
            <charset val="1"/>
          </rPr>
          <t xml:space="preserve">ke UIN Mnegurus transkrip nilai final
</t>
        </r>
      </text>
    </comment>
    <comment ref="AA74" authorId="0" shapeId="0" xr:uid="{3EF3397B-11C6-44A1-8EC6-C498E54D0CFA}">
      <text>
        <r>
          <rPr>
            <b/>
            <sz val="9"/>
            <color indexed="81"/>
            <rFont val="Tahoma"/>
            <family val="2"/>
          </rPr>
          <t>08,03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5" authorId="0" shapeId="0" xr:uid="{4959B47B-1A01-4F67-B069-B35A22AD02F0}">
      <text>
        <r>
          <rPr>
            <b/>
            <sz val="9"/>
            <color indexed="81"/>
            <rFont val="Tahoma"/>
            <charset val="1"/>
          </rPr>
          <t>08,21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76" authorId="0" shapeId="0" xr:uid="{746EBB3D-6249-489C-8355-C24C4A394193}">
      <text>
        <r>
          <rPr>
            <b/>
            <sz val="9"/>
            <color indexed="81"/>
            <rFont val="Tahoma"/>
            <charset val="1"/>
          </rPr>
          <t>anak istri sakit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76" authorId="0" shapeId="0" xr:uid="{CEAF4FD6-0441-4B15-A5C4-2582FAB5A498}">
      <text>
        <r>
          <rPr>
            <sz val="9"/>
            <color indexed="81"/>
            <rFont val="Tahoma"/>
            <charset val="1"/>
          </rPr>
          <t xml:space="preserve">urusan keluarga
</t>
        </r>
      </text>
    </comment>
    <comment ref="Q78" authorId="0" shapeId="0" xr:uid="{CE8256C5-5DAB-4D5D-9697-7353F7EFD214}">
      <text>
        <r>
          <rPr>
            <b/>
            <sz val="9"/>
            <color indexed="81"/>
            <rFont val="Tahoma"/>
            <charset val="1"/>
          </rPr>
          <t>urusan keluarga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81" authorId="0" shapeId="0" xr:uid="{8D594B82-2299-4670-BE06-ADD8F5ABFBC1}">
      <text>
        <r>
          <rPr>
            <b/>
            <sz val="9"/>
            <color indexed="81"/>
            <rFont val="Tahoma"/>
            <charset val="1"/>
          </rPr>
          <t>daftar istri utk rawat inap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81" authorId="0" shapeId="0" xr:uid="{FE618C56-7FAD-4934-84A2-1C8AB79F447F}">
      <text>
        <r>
          <rPr>
            <b/>
            <sz val="9"/>
            <color indexed="81"/>
            <rFont val="Tahoma"/>
            <charset val="1"/>
          </rPr>
          <t>istri operasi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81" authorId="0" shapeId="0" xr:uid="{47820DDE-3178-4900-AB3C-F93BA77EC905}">
      <text>
        <r>
          <rPr>
            <b/>
            <sz val="9"/>
            <color indexed="81"/>
            <rFont val="Tahoma"/>
            <charset val="1"/>
          </rPr>
          <t>istri operasi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N81" authorId="0" shapeId="0" xr:uid="{7B0E403A-D93A-471A-880C-4EB4C08EE106}">
      <text>
        <r>
          <rPr>
            <b/>
            <sz val="9"/>
            <color indexed="81"/>
            <rFont val="Tahoma"/>
            <charset val="1"/>
          </rPr>
          <t>istri operasi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D84" authorId="0" shapeId="0" xr:uid="{D2ED5805-4270-4783-8BBA-DFF9186EF45B}">
      <text>
        <r>
          <rPr>
            <b/>
            <sz val="9"/>
            <color indexed="81"/>
            <rFont val="Tahoma"/>
            <charset val="1"/>
          </rPr>
          <t>07,36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84" authorId="0" shapeId="0" xr:uid="{786EED19-6D22-4D34-B1F9-57327937F111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84" authorId="0" shapeId="0" xr:uid="{FA93F639-152D-4ACC-B73B-45AC2A5275F2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84" authorId="0" shapeId="0" xr:uid="{2FF6762C-5931-4359-BE3F-45326E50C294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84" authorId="0" shapeId="0" xr:uid="{9BA2F4FA-87EE-4DDD-8E88-CFC97BCE773A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85" authorId="0" shapeId="0" xr:uid="{0851375E-ADB4-49AA-8300-6B68356352DB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85" authorId="0" shapeId="0" xr:uid="{441E712C-E785-482A-855B-1D4D9710574E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85" authorId="0" shapeId="0" xr:uid="{4CA71D1D-FB1B-41C8-B6CF-2AEE145547FD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85" authorId="0" shapeId="0" xr:uid="{71F4F0BD-BE06-47CE-8E90-B234C40220E3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88" authorId="0" shapeId="0" xr:uid="{B30B5C10-D57B-47FC-9114-00075E70A1EB}">
      <text>
        <r>
          <rPr>
            <b/>
            <sz val="9"/>
            <color indexed="81"/>
            <rFont val="Tahoma"/>
            <charset val="1"/>
          </rPr>
          <t>07,41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89" authorId="0" shapeId="0" xr:uid="{778568E1-1741-4F3C-9FDC-5B5932145D90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89" authorId="0" shapeId="0" xr:uid="{FA152753-341D-4C77-A223-031E411C90B6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89" authorId="0" shapeId="0" xr:uid="{E2728EF7-1720-4F10-A6FE-F6DD9503623A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90" authorId="0" shapeId="0" xr:uid="{A0C0E8A1-17D4-4D2A-9546-14F387250F0F}">
      <text>
        <r>
          <rPr>
            <b/>
            <sz val="9"/>
            <color indexed="81"/>
            <rFont val="Tahoma"/>
            <family val="2"/>
          </rPr>
          <t>OUT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90" authorId="0" shapeId="0" xr:uid="{C11C0320-FC26-49B3-8431-B67983C27CA3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90" authorId="0" shapeId="0" xr:uid="{6BC5E185-749E-490B-9F63-37588C250B0C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90" authorId="0" shapeId="0" xr:uid="{34790249-8303-4D48-87D4-F26590A4E8DB}">
      <text>
        <r>
          <rPr>
            <b/>
            <sz val="9"/>
            <color indexed="81"/>
            <rFont val="Tahoma"/>
            <charset val="1"/>
          </rPr>
          <t>Home visit non Palembang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B90" authorId="0" shapeId="0" xr:uid="{0E6490DC-98D7-4539-85CA-9A6B55FA345B}">
      <text>
        <r>
          <rPr>
            <b/>
            <sz val="9"/>
            <color indexed="81"/>
            <rFont val="Tahoma"/>
            <charset val="1"/>
          </rPr>
          <t>07,34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91" authorId="0" shapeId="0" xr:uid="{42F19858-100E-4AFF-BB9C-15459D1ADD18}">
      <text>
        <r>
          <rPr>
            <b/>
            <sz val="9"/>
            <color indexed="81"/>
            <rFont val="Tahoma"/>
            <charset val="1"/>
          </rPr>
          <t>07,57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91" authorId="0" shapeId="0" xr:uid="{01015335-11A5-4C29-9C8E-6516021B0985}">
      <text>
        <r>
          <rPr>
            <b/>
            <sz val="9"/>
            <color indexed="81"/>
            <rFont val="Tahoma"/>
            <charset val="1"/>
          </rPr>
          <t>07,59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91" authorId="0" shapeId="0" xr:uid="{8A736352-2879-418E-8728-C764251CD47A}">
      <text>
        <r>
          <rPr>
            <b/>
            <sz val="9"/>
            <color indexed="81"/>
            <rFont val="Tahoma"/>
            <charset val="1"/>
          </rPr>
          <t>07,50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91" authorId="0" shapeId="0" xr:uid="{A3BC52DF-F8C5-4C8F-8A17-74AD13669A6B}">
      <text>
        <r>
          <rPr>
            <b/>
            <sz val="9"/>
            <color indexed="81"/>
            <rFont val="Tahoma"/>
            <charset val="1"/>
          </rPr>
          <t>07,54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K91" authorId="0" shapeId="0" xr:uid="{DF9B6697-CA8C-456D-8609-0BB192C8C953}">
      <text>
        <r>
          <rPr>
            <b/>
            <sz val="9"/>
            <color indexed="81"/>
            <rFont val="Tahoma"/>
            <charset val="1"/>
          </rPr>
          <t>07,54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L91" authorId="0" shapeId="0" xr:uid="{896DF0F2-5CFA-4E5B-A177-070ECFC8A33E}">
      <text>
        <r>
          <rPr>
            <b/>
            <sz val="9"/>
            <color indexed="81"/>
            <rFont val="Tahoma"/>
            <charset val="1"/>
          </rPr>
          <t>08,09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M91" authorId="0" shapeId="0" xr:uid="{8C357D14-0BAF-488B-9ADC-F6F5DB5D13DF}">
      <text>
        <r>
          <rPr>
            <b/>
            <sz val="9"/>
            <color indexed="81"/>
            <rFont val="Tahoma"/>
            <family val="2"/>
          </rPr>
          <t>08,00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A91" authorId="0" shapeId="0" xr:uid="{9AF31922-3D9F-487B-89C5-201526A22D3D}">
      <text>
        <r>
          <rPr>
            <b/>
            <sz val="9"/>
            <color indexed="81"/>
            <rFont val="Tahoma"/>
            <family val="2"/>
          </rPr>
          <t>07,52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92" authorId="0" shapeId="0" xr:uid="{C1B9D1DD-69BB-41D1-85FD-D929E962C1D1}">
      <text>
        <r>
          <rPr>
            <b/>
            <sz val="9"/>
            <color indexed="81"/>
            <rFont val="Tahoma"/>
            <charset val="1"/>
          </rPr>
          <t>09,30 -20,00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B93" authorId="0" shapeId="0" xr:uid="{5A002B76-5397-417C-9F02-D423E3D8E4E0}">
      <text>
        <r>
          <rPr>
            <b/>
            <sz val="9"/>
            <color indexed="81"/>
            <rFont val="Tahoma"/>
            <charset val="1"/>
          </rPr>
          <t>05,00 - 15,30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101" authorId="0" shapeId="0" xr:uid="{45B76B18-B71D-4363-B375-A2C5C04A7D00}">
      <text>
        <r>
          <rPr>
            <b/>
            <sz val="9"/>
            <color indexed="81"/>
            <rFont val="Tahoma"/>
            <charset val="1"/>
          </rPr>
          <t>09,58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05" authorId="0" shapeId="0" xr:uid="{5C7FB844-6259-430E-A2AE-99FAB691AB4A}">
      <text>
        <r>
          <rPr>
            <b/>
            <sz val="9"/>
            <color indexed="81"/>
            <rFont val="Tahoma"/>
            <family val="2"/>
          </rPr>
          <t>07,33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05" authorId="0" shapeId="0" xr:uid="{C7AF66B7-8E11-470B-8F1F-4C16C2B84A87}">
      <text>
        <r>
          <rPr>
            <b/>
            <sz val="9"/>
            <color indexed="81"/>
            <rFont val="Tahoma"/>
            <family val="2"/>
          </rPr>
          <t>07,41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06" authorId="0" shapeId="0" xr:uid="{DEDFC8EF-320F-4B29-9207-F11555BFFE46}">
      <text>
        <r>
          <rPr>
            <sz val="9"/>
            <color indexed="81"/>
            <rFont val="Tahoma"/>
            <charset val="1"/>
          </rPr>
          <t xml:space="preserve">demam
</t>
        </r>
      </text>
    </comment>
    <comment ref="G106" authorId="0" shapeId="0" xr:uid="{0E829525-69BF-432D-B5B9-82BB4037842E}">
      <text>
        <r>
          <rPr>
            <sz val="9"/>
            <color indexed="81"/>
            <rFont val="Tahoma"/>
            <charset val="1"/>
          </rPr>
          <t xml:space="preserve">demam
</t>
        </r>
      </text>
    </comment>
    <comment ref="I106" authorId="0" shapeId="0" xr:uid="{A278E5E3-855F-4AA5-9C76-E258502BF3B4}">
      <text>
        <r>
          <rPr>
            <b/>
            <sz val="9"/>
            <color indexed="81"/>
            <rFont val="Tahoma"/>
            <charset val="1"/>
          </rPr>
          <t>15,13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07" authorId="0" shapeId="0" xr:uid="{4B609CAC-22D9-4A33-AF14-E926748A35A5}">
      <text>
        <r>
          <rPr>
            <b/>
            <sz val="9"/>
            <color indexed="81"/>
            <rFont val="Tahoma"/>
            <charset val="1"/>
          </rPr>
          <t>07,58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G107" authorId="0" shapeId="0" xr:uid="{EE578454-6678-42A6-A10E-6C9EDE43F1D0}">
      <text>
        <r>
          <rPr>
            <b/>
            <sz val="9"/>
            <color indexed="81"/>
            <rFont val="Tahoma"/>
            <charset val="1"/>
          </rPr>
          <t>07,40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107" authorId="0" shapeId="0" xr:uid="{9684DF81-D6A8-4D8A-AF44-AA6060F927B0}">
      <text>
        <r>
          <rPr>
            <b/>
            <sz val="9"/>
            <color indexed="81"/>
            <rFont val="Tahoma"/>
            <charset val="1"/>
          </rPr>
          <t>21,12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F108" authorId="0" shapeId="0" xr:uid="{EAE0CA81-6288-454C-A2C5-B796E9049BFB}">
      <text>
        <r>
          <rPr>
            <b/>
            <sz val="9"/>
            <color indexed="81"/>
            <rFont val="Tahoma"/>
            <charset val="1"/>
          </rPr>
          <t>15,05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08" authorId="0" shapeId="0" xr:uid="{618A37FA-7784-4D0F-916D-ED14AA575102}">
      <text>
        <r>
          <rPr>
            <b/>
            <sz val="9"/>
            <color indexed="81"/>
            <rFont val="Tahoma"/>
            <charset val="1"/>
          </rPr>
          <t>07,39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I109" authorId="0" shapeId="0" xr:uid="{BC3B65FB-2A11-4E0A-84C1-28E40224892C}">
      <text>
        <r>
          <rPr>
            <b/>
            <sz val="9"/>
            <color indexed="81"/>
            <rFont val="Tahoma"/>
            <charset val="1"/>
          </rPr>
          <t>07,50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J109" authorId="0" shapeId="0" xr:uid="{C73140CB-DADC-4A97-8B9B-37FD909E4E4D}">
      <text>
        <r>
          <rPr>
            <b/>
            <sz val="9"/>
            <color indexed="81"/>
            <rFont val="Tahoma"/>
            <charset val="1"/>
          </rPr>
          <t>07,38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C110" authorId="0" shapeId="0" xr:uid="{5AD97363-357D-4937-9783-98870DD0FF1B}">
      <text>
        <r>
          <rPr>
            <b/>
            <sz val="9"/>
            <color indexed="81"/>
            <rFont val="Tahoma"/>
            <charset val="1"/>
          </rPr>
          <t>07,36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<sst xmlns="http://schemas.openxmlformats.org/spreadsheetml/2006/main" count="168" uniqueCount="145">
  <si>
    <t>SAT</t>
  </si>
  <si>
    <t>SUN</t>
  </si>
  <si>
    <t>NO</t>
  </si>
  <si>
    <t>NAME</t>
  </si>
  <si>
    <t>MON</t>
  </si>
  <si>
    <t>TUE</t>
  </si>
  <si>
    <t>WED</t>
  </si>
  <si>
    <t>THU</t>
  </si>
  <si>
    <t>FRI</t>
  </si>
  <si>
    <t>NILAI KEDISPLINAN</t>
  </si>
  <si>
    <t>HARI KERJA</t>
  </si>
  <si>
    <t>HAK IZIN PAGI</t>
  </si>
  <si>
    <t>HAK IZIN SIANG</t>
  </si>
  <si>
    <t>ILL (NO LETTER)</t>
  </si>
  <si>
    <t>ILL (WITH LETTER)</t>
  </si>
  <si>
    <t>PERMISSION</t>
  </si>
  <si>
    <t>OTHER LEAVE</t>
  </si>
  <si>
    <t>ANNUAL LEAVE</t>
  </si>
  <si>
    <t>DINAS LUAR</t>
  </si>
  <si>
    <t>WITHOUT INFO</t>
  </si>
  <si>
    <t>X</t>
  </si>
  <si>
    <t>Y</t>
  </si>
  <si>
    <t>PRESENTASI</t>
  </si>
  <si>
    <t>SCORE 1</t>
  </si>
  <si>
    <t>SCORE KEDISIPLINAN</t>
  </si>
  <si>
    <t>HK</t>
  </si>
  <si>
    <t>HIP</t>
  </si>
  <si>
    <t>HIS</t>
  </si>
  <si>
    <t>I</t>
  </si>
  <si>
    <t>IL</t>
  </si>
  <si>
    <t>P</t>
  </si>
  <si>
    <t>OTL</t>
  </si>
  <si>
    <t>AL</t>
  </si>
  <si>
    <t>DL</t>
  </si>
  <si>
    <t>A</t>
  </si>
  <si>
    <t>ISWAN DJATI KUSUMA, S.Pd, M.Si</t>
  </si>
  <si>
    <t>EKO VALERY FREDDIE, S.E, M.Pd</t>
  </si>
  <si>
    <t>KURNIAWATI, M.Pd</t>
  </si>
  <si>
    <t xml:space="preserve">HANDAYANI, M.Pd. </t>
  </si>
  <si>
    <t>M. AMIRUDDIN, S.Pd., M.Pd.</t>
  </si>
  <si>
    <t>AGIK AGDILA, S.Pd.,M.Pd.</t>
  </si>
  <si>
    <t>NUR PADMI TYASTUTI, S.Pd, M.T</t>
  </si>
  <si>
    <t>ERPADELLAH, S.Pd</t>
  </si>
  <si>
    <t>ELIZAH, S.Pd</t>
  </si>
  <si>
    <t>NENENG KHAIRANI, M.Pd</t>
  </si>
  <si>
    <t>DIAN NOVITA, S.Pd</t>
  </si>
  <si>
    <t>RAMADANSYAH, S.Pd</t>
  </si>
  <si>
    <t>MALISA OKTARINA, S.Pd</t>
  </si>
  <si>
    <t>SAMARI, S.Pd.,M.Pd.</t>
  </si>
  <si>
    <t>MUHAMMAD RIFQI, M.Pd.</t>
  </si>
  <si>
    <t>NOVIANTI ISLAHIAH, S.Pd.,M.Ed.</t>
  </si>
  <si>
    <t>EGA NIRMALA, S.Pd</t>
  </si>
  <si>
    <t>MADIYANSYAH, S.Sos.I.,M.Pd.I</t>
  </si>
  <si>
    <t>RANANDA VINSIAH, S.Pd.,M.Si</t>
  </si>
  <si>
    <t>SUCI WULANDARY, S.Pd</t>
  </si>
  <si>
    <t>ARMANSYAH,S.Kom. M.Pd</t>
  </si>
  <si>
    <t>RIEFKA ANNISA PRILYTA, S.Pd</t>
  </si>
  <si>
    <t>BAGUS ABDILLAH, M.Pd</t>
  </si>
  <si>
    <t>SRI MULYATI, S.Pd.,M.Hum.</t>
  </si>
  <si>
    <t>RAHMA TRI KUSUMA, S.Pd</t>
  </si>
  <si>
    <t>ARESTI RANDIKA, M.Pd</t>
  </si>
  <si>
    <t>YUNI EKA SARI, S.Pd.</t>
  </si>
  <si>
    <t>ANISAH RAHMADAN PUTRI, S.Pd.</t>
  </si>
  <si>
    <t>WANDA LISTYANINGSIH, S.SI., M.Sc.</t>
  </si>
  <si>
    <t>SINTA HELYAWAN, S.Pd.</t>
  </si>
  <si>
    <t>RANDI PUTRA RAMADHON, S.Pd.</t>
  </si>
  <si>
    <t>LARAS RASMITA, S.Psi.</t>
  </si>
  <si>
    <t>LEONARDO JONATHAN SHINARIKO, M.Pd.</t>
  </si>
  <si>
    <t>ANNISA SEPTIANI, S.Pd.</t>
  </si>
  <si>
    <t>FARIDA HASMI, S.E</t>
  </si>
  <si>
    <t>NANAK SUPRIYATNA</t>
  </si>
  <si>
    <t>OLIN REYNALDI</t>
  </si>
  <si>
    <t>DEBBY LEONELLA, A.Md</t>
  </si>
  <si>
    <t>MICO RUSWANTO</t>
  </si>
  <si>
    <t xml:space="preserve"> </t>
  </si>
  <si>
    <t>IRFAN DWI CAHYA</t>
  </si>
  <si>
    <t>BASRI</t>
  </si>
  <si>
    <t>AGAM AULIA FAHLEVI, S.Pd., M.M.</t>
  </si>
  <si>
    <t>DEWI KRISNAWATI, S.IP</t>
  </si>
  <si>
    <t>AHMAD ARIYADI, S.Ag</t>
  </si>
  <si>
    <t>LUSI LESTARI, S. Ag</t>
  </si>
  <si>
    <t>AHYU KHURIN NUROH, S.Pd</t>
  </si>
  <si>
    <t>REZA GUNAWAN</t>
  </si>
  <si>
    <t>MUHAMMAD RIFKI FERNIARDO</t>
  </si>
  <si>
    <t>FETA LARA SARI</t>
  </si>
  <si>
    <t>TIO SULTAN IBRANOV</t>
  </si>
  <si>
    <t>CHITIA MAURINDA PUTRI, S.Ag</t>
  </si>
  <si>
    <t>DIAN JULIA SILVIANI, A.Md.</t>
  </si>
  <si>
    <t>Bdn. KHALDA TIARA PUTRI, S.Tr.Keb.</t>
  </si>
  <si>
    <t>Bdn. MALA RISPA, S.Tr.Keb.</t>
  </si>
  <si>
    <t>ADELIA RAMADANTHI, A.Md.T</t>
  </si>
  <si>
    <t>ANNISA HIDAYATI, S.Tr.T</t>
  </si>
  <si>
    <t>JIHAN YULIANTI, S.IP.</t>
  </si>
  <si>
    <t>ARIS WIBOWO, M.Kom.</t>
  </si>
  <si>
    <t>RILLO ABYUDAYA</t>
  </si>
  <si>
    <t>ADE FEBRI AFRINANTO</t>
  </si>
  <si>
    <t>SOBIRIN</t>
  </si>
  <si>
    <t>KMS. FANI HASYIM</t>
  </si>
  <si>
    <t>MULYA</t>
  </si>
  <si>
    <t>GUSTI AGUSTINA</t>
  </si>
  <si>
    <t>AZZAM PASAH</t>
  </si>
  <si>
    <t>IIS GUNAWAN</t>
  </si>
  <si>
    <t>AKMAL NAZIR</t>
  </si>
  <si>
    <t>ADI CANDRA</t>
  </si>
  <si>
    <t>BAGUS TRIWAHYU</t>
  </si>
  <si>
    <t>MARDIANTO</t>
  </si>
  <si>
    <t>ERWIN SETYONO</t>
  </si>
  <si>
    <t>MARTANDI</t>
  </si>
  <si>
    <t>SINGGIH BINTANG, A.Md.Par</t>
  </si>
  <si>
    <t>MUH. MIFTACHUDIN, S.E.Sy</t>
  </si>
  <si>
    <t>LIEYANA</t>
  </si>
  <si>
    <t>ROHANA</t>
  </si>
  <si>
    <t>YENI VIFI KUSUMAWATI</t>
  </si>
  <si>
    <t>HIDAYATULLAH</t>
  </si>
  <si>
    <t>ANDRI</t>
  </si>
  <si>
    <t>YULIANSYAH</t>
  </si>
  <si>
    <t>MOEHAMMAD NAJIRIN</t>
  </si>
  <si>
    <t>MEIYADI</t>
  </si>
  <si>
    <t>WINARTI, A.Ma.Pust.</t>
  </si>
  <si>
    <t>FERIANTO</t>
  </si>
  <si>
    <t>DEWI SUSANTI</t>
  </si>
  <si>
    <t>WIRASWASTANA</t>
  </si>
  <si>
    <t>SUPRIADI</t>
  </si>
  <si>
    <t>BAYU AJI NURCAHYANTO</t>
  </si>
  <si>
    <t>CHANDRA ADI KIRANA</t>
  </si>
  <si>
    <t>NOVIE TRI ARDIANSYAH</t>
  </si>
  <si>
    <t>AGUNG PRIBADI</t>
  </si>
  <si>
    <t>M. KHAIDIR</t>
  </si>
  <si>
    <t>DENI PRATAMA</t>
  </si>
  <si>
    <t>M IQBAL RIZKY</t>
  </si>
  <si>
    <t>HERI IRAWAN</t>
  </si>
  <si>
    <t>Palembang, 01 Juli 2026</t>
  </si>
  <si>
    <t>Mengetahui,</t>
  </si>
  <si>
    <t>Dibuat Oleh,</t>
  </si>
  <si>
    <t>Kepala Sekolah</t>
  </si>
  <si>
    <t>Kepala Tenaga Administrasi</t>
  </si>
  <si>
    <t>Iswan Djati Kusuma, S.Pd, M.Si</t>
  </si>
  <si>
    <t>Debby Leonella, A.Md.</t>
  </si>
  <si>
    <t>Pembina Utama Muda, IV.c</t>
  </si>
  <si>
    <t>NIP 199007302025212024</t>
  </si>
  <si>
    <t>NIP 196912232000121001</t>
  </si>
  <si>
    <t>SMAN SUMATERA SELATAN</t>
  </si>
  <si>
    <t xml:space="preserve"> Jalan Pangeran Ratu Rt.11 Rw. 8 Kelurahan 5 Ulu Kec. Seberang Ulu I Palembang 30252 ( (0711) 7579749 Fax (0711)7539766</t>
  </si>
  <si>
    <t>Website : http://smansumsel.sch.id   Email : info@smansumsel.sch.id</t>
  </si>
  <si>
    <t>DAFTAR KEHADIRAN TENAGA PENDIDIK, TENAGA KEPENDIDIKAN DAN TENAGA LAYANAN KHUSUS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</si>
</sst>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[$-409]d\-mmm\-yy;@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8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9"/>
      <color rgb="FF000000"/>
      <name val="Brush Script MT"/>
      <family val="4"/>
    </font>
    <font>
      <sz val="8"/>
      <color theme="1"/>
      <name val="Arial"/>
      <family val="2"/>
    </font>
    <font>
      <sz val="5"/>
      <color theme="1"/>
      <name val="Arial"/>
      <family val="2"/>
    </font>
    <font>
      <sz val="10"/>
      <color theme="1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8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color theme="1"/>
      <name val="Aptos Narrow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8535111545152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8" fillId="0" borderId="0"/>
  </cellStyleXfs>
  <cellXfs count="10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/>
    <xf numFmtId="0" fontId="6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17" fontId="2" fillId="4" borderId="9" xfId="0" applyNumberFormat="1" applyFont="1" applyFill="1" applyBorder="1" applyAlignment="1">
      <alignment horizontal="center"/>
    </xf>
    <xf numFmtId="17" fontId="2" fillId="4" borderId="1" xfId="0" applyNumberFormat="1" applyFont="1" applyFill="1" applyBorder="1" applyAlignment="1">
      <alignment horizontal="center"/>
    </xf>
    <xf numFmtId="17" fontId="2" fillId="4" borderId="6" xfId="0" applyNumberFormat="1" applyFont="1" applyFill="1" applyBorder="1" applyAlignment="1">
      <alignment horizontal="center"/>
    </xf>
    <xf numFmtId="17" fontId="2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3" borderId="3" xfId="0" applyFont="1" applyFill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165" fontId="12" fillId="4" borderId="10" xfId="0" applyNumberFormat="1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165" fontId="5" fillId="4" borderId="10" xfId="0" applyNumberFormat="1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4" xfId="0" applyBorder="1"/>
    <xf numFmtId="0" fontId="9" fillId="0" borderId="5" xfId="0" applyFont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/>
    </xf>
    <xf numFmtId="0" fontId="0" fillId="0" borderId="3" xfId="0" applyBorder="1"/>
    <xf numFmtId="165" fontId="11" fillId="0" borderId="3" xfId="0" applyNumberFormat="1" applyFont="1" applyBorder="1" applyAlignment="1">
      <alignment horizontal="center" vertical="center" wrapText="1"/>
    </xf>
    <xf numFmtId="165" fontId="11" fillId="3" borderId="3" xfId="0" applyNumberFormat="1" applyFont="1" applyFill="1" applyBorder="1" applyAlignment="1">
      <alignment horizontal="center" vertical="center" wrapText="1"/>
    </xf>
    <xf numFmtId="41" fontId="11" fillId="0" borderId="5" xfId="2" applyFont="1" applyFill="1" applyBorder="1" applyAlignment="1">
      <alignment horizontal="center" vertical="center" wrapText="1"/>
    </xf>
    <xf numFmtId="41" fontId="15" fillId="0" borderId="3" xfId="2" applyFont="1" applyFill="1" applyBorder="1" applyAlignment="1">
      <alignment horizontal="left" vertical="center"/>
    </xf>
    <xf numFmtId="41" fontId="11" fillId="3" borderId="5" xfId="2" applyFont="1" applyFill="1" applyBorder="1" applyAlignment="1">
      <alignment horizontal="center" vertical="center" wrapText="1"/>
    </xf>
    <xf numFmtId="164" fontId="0" fillId="4" borderId="3" xfId="0" applyNumberFormat="1" applyFill="1" applyBorder="1" applyAlignment="1">
      <alignment horizontal="center" vertical="center"/>
    </xf>
    <xf numFmtId="41" fontId="11" fillId="3" borderId="3" xfId="2" applyFont="1" applyFill="1" applyBorder="1" applyAlignment="1">
      <alignment horizontal="center" vertical="center" wrapText="1"/>
    </xf>
    <xf numFmtId="41" fontId="11" fillId="3" borderId="11" xfId="2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vertical="center" textRotation="255"/>
    </xf>
    <xf numFmtId="0" fontId="9" fillId="3" borderId="3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3" borderId="8" xfId="0" applyFont="1" applyFill="1" applyBorder="1" applyAlignment="1">
      <alignment vertical="center" textRotation="255"/>
    </xf>
    <xf numFmtId="165" fontId="9" fillId="3" borderId="3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left" vertical="center"/>
    </xf>
    <xf numFmtId="0" fontId="17" fillId="3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17" fillId="0" borderId="3" xfId="3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1" fontId="0" fillId="4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1" fontId="0" fillId="5" borderId="4" xfId="0" applyNumberFormat="1" applyFill="1" applyBorder="1" applyAlignment="1">
      <alignment horizontal="center" vertical="center"/>
    </xf>
    <xf numFmtId="0" fontId="6" fillId="7" borderId="0" xfId="0" applyFont="1" applyFill="1" applyAlignment="1">
      <alignment horizontal="left" vertical="center"/>
    </xf>
    <xf numFmtId="0" fontId="19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 readingOrder="2"/>
    </xf>
    <xf numFmtId="17" fontId="7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7" fontId="7" fillId="4" borderId="5" xfId="0" applyNumberFormat="1" applyFont="1" applyFill="1" applyBorder="1" applyAlignment="1">
      <alignment horizontal="center" vertical="center"/>
    </xf>
    <xf numFmtId="17" fontId="7" fillId="4" borderId="6" xfId="0" applyNumberFormat="1" applyFont="1" applyFill="1" applyBorder="1" applyAlignment="1">
      <alignment horizontal="center" vertical="center"/>
    </xf>
    <xf numFmtId="17" fontId="7" fillId="4" borderId="7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43" fontId="0" fillId="0" borderId="0" xfId="1" applyFont="1" applyBorder="1" applyAlignment="1">
      <alignment horizontal="center"/>
    </xf>
    <xf numFmtId="41" fontId="0" fillId="0" borderId="0" xfId="2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Comma" xfId="1" builtinId="3"/>
    <cellStyle name="Comma [0]" xfId="2" builtinId="6"/>
    <cellStyle name="Normal" xfId="0" builtinId="0"/>
    <cellStyle name="Normal 2" xfId="3" xr:uid="{E90D771D-E4FF-4A7A-ADDF-7CD474D1BF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601756</xdr:colOff>
      <xdr:row>0</xdr:row>
      <xdr:rowOff>87033</xdr:rowOff>
    </xdr:from>
    <xdr:ext cx="665409" cy="885825"/>
    <xdr:pic>
      <xdr:nvPicPr>
        <xdr:cNvPr id="2" name="Picture 1">
          <a:extLst>
            <a:ext uri="{FF2B5EF4-FFF2-40B4-BE49-F238E27FC236}">
              <a16:creationId xmlns:a16="http://schemas.microsoft.com/office/drawing/2014/main" id="{FC11146D-5BA3-4AF9-9FC7-CD6A7F998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8109" y="87033"/>
          <a:ext cx="665409" cy="885825"/>
        </a:xfrm>
        <a:prstGeom prst="rect">
          <a:avLst/>
        </a:prstGeom>
      </xdr:spPr>
    </xdr:pic>
    <xdr:clientData/>
  </xdr:oneCellAnchor>
  <xdr:twoCellAnchor>
    <xdr:from>
      <xdr:col>34</xdr:col>
      <xdr:colOff>238125</xdr:colOff>
      <xdr:row>0</xdr:row>
      <xdr:rowOff>95249</xdr:rowOff>
    </xdr:from>
    <xdr:to>
      <xdr:col>35</xdr:col>
      <xdr:colOff>373530</xdr:colOff>
      <xdr:row>4</xdr:row>
      <xdr:rowOff>104774</xdr:rowOff>
    </xdr:to>
    <xdr:pic>
      <xdr:nvPicPr>
        <xdr:cNvPr id="3" name="Picture 2" descr="logo-k-smansumsel">
          <a:extLst>
            <a:ext uri="{FF2B5EF4-FFF2-40B4-BE49-F238E27FC236}">
              <a16:creationId xmlns:a16="http://schemas.microsoft.com/office/drawing/2014/main" id="{3D0BA52B-8431-443C-B683-1B66D9E03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24711772" y="95249"/>
          <a:ext cx="747993" cy="81634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4A1B-115B-48DA-B429-F85853D9474F}">
  <dimension ref="A1:AW121"/>
  <sheetViews>
    <sheetView tabSelected="1" topLeftCell="AB14" zoomScale="106" workbookViewId="0">
      <selection activeCell="AP14" sqref="AH14:AP14"/>
    </sheetView>
  </sheetViews>
  <sheetFormatPr defaultRowHeight="14.4" x14ac:dyDescent="0.3"/>
  <cols>
    <col min="2" max="2" width="53.109375" customWidth="1"/>
  </cols>
  <sheetData>
    <row r="1" spans="1:49" x14ac:dyDescent="0.3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</row>
    <row r="2" spans="1:49" ht="21" x14ac:dyDescent="0.4">
      <c r="A2" s="105" t="s">
        <v>141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82"/>
      <c r="AW2" s="82"/>
    </row>
    <row r="3" spans="1:49" x14ac:dyDescent="0.3">
      <c r="A3" s="90" t="s">
        <v>142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</row>
    <row r="4" spans="1:49" x14ac:dyDescent="0.3">
      <c r="A4" s="106" t="s">
        <v>143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83"/>
      <c r="AW4" s="83"/>
    </row>
    <row r="5" spans="1:49" x14ac:dyDescent="0.3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49" ht="15.6" x14ac:dyDescent="0.3">
      <c r="A6" s="85"/>
      <c r="B6" s="85"/>
      <c r="C6" s="86"/>
      <c r="D6" s="87"/>
      <c r="E6" s="1"/>
      <c r="F6" s="1"/>
      <c r="G6" s="1"/>
      <c r="H6" s="1"/>
      <c r="I6" s="1"/>
      <c r="J6" s="1"/>
      <c r="K6" s="103"/>
      <c r="L6" s="103"/>
      <c r="M6" s="1"/>
      <c r="N6" s="1"/>
      <c r="O6" s="2"/>
      <c r="P6" s="1"/>
      <c r="Q6" s="1"/>
      <c r="R6" s="1"/>
      <c r="S6" s="1"/>
      <c r="T6" s="1"/>
      <c r="U6" s="1"/>
      <c r="V6" s="1"/>
      <c r="W6" s="1"/>
      <c r="X6" s="1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N6" s="90"/>
      <c r="AO6" s="90"/>
      <c r="AV6" s="3"/>
      <c r="AW6" s="3"/>
    </row>
    <row r="7" spans="1:49" ht="15.6" x14ac:dyDescent="0.3">
      <c r="A7" s="104" t="s">
        <v>144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84"/>
      <c r="AW7" s="84"/>
    </row>
    <row r="8" spans="1:49" ht="15.6" x14ac:dyDescent="0.3">
      <c r="A8" s="100">
        <v>46174</v>
      </c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</row>
    <row r="9" spans="1:49" ht="15.6" x14ac:dyDescent="0.3">
      <c r="C9" s="4"/>
      <c r="D9" s="4"/>
      <c r="J9" s="90"/>
      <c r="K9" s="90"/>
      <c r="L9" s="90"/>
      <c r="M9" s="90"/>
      <c r="AA9" s="90"/>
      <c r="AB9" s="90"/>
      <c r="AC9" s="90"/>
      <c r="AD9" s="90"/>
      <c r="AE9" s="90"/>
      <c r="AF9" s="90"/>
      <c r="AH9" s="101"/>
      <c r="AI9" s="101"/>
      <c r="AJ9" s="101"/>
      <c r="AK9" s="101"/>
      <c r="AM9" s="102"/>
      <c r="AN9" s="102"/>
      <c r="AO9" s="102"/>
    </row>
    <row r="10" spans="1:49" ht="15.6" x14ac:dyDescent="0.3">
      <c r="C10" s="89">
        <f>AG12</f>
        <v>46174</v>
      </c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H10" s="90"/>
      <c r="AI10" s="90"/>
      <c r="AJ10" s="90"/>
      <c r="AK10" s="90"/>
      <c r="AL10" s="90"/>
      <c r="AM10" s="90"/>
    </row>
    <row r="11" spans="1:49" x14ac:dyDescent="0.3">
      <c r="C11" s="5"/>
      <c r="D11" s="5"/>
      <c r="E11" s="6"/>
      <c r="F11" s="5"/>
      <c r="H11" s="7" t="s">
        <v>0</v>
      </c>
      <c r="I11" s="7" t="s">
        <v>1</v>
      </c>
      <c r="J11" s="5"/>
      <c r="K11" s="5"/>
      <c r="L11" s="6"/>
      <c r="M11" s="5"/>
      <c r="O11" s="7" t="s">
        <v>0</v>
      </c>
      <c r="P11" s="7" t="s">
        <v>1</v>
      </c>
      <c r="Q11" s="5"/>
      <c r="R11" s="5"/>
      <c r="S11" s="6"/>
      <c r="T11" s="5"/>
      <c r="V11" s="7" t="s">
        <v>0</v>
      </c>
      <c r="W11" s="7" t="s">
        <v>1</v>
      </c>
      <c r="X11" s="5"/>
      <c r="Y11" s="5"/>
      <c r="Z11" s="6"/>
      <c r="AA11" s="5"/>
      <c r="AB11" s="8"/>
      <c r="AC11" s="7" t="s">
        <v>0</v>
      </c>
      <c r="AD11" s="7" t="s">
        <v>1</v>
      </c>
    </row>
    <row r="12" spans="1:49" ht="15.6" x14ac:dyDescent="0.3">
      <c r="A12" s="91" t="s">
        <v>2</v>
      </c>
      <c r="B12" s="91" t="s">
        <v>3</v>
      </c>
      <c r="C12" s="9" t="s">
        <v>4</v>
      </c>
      <c r="D12" s="9" t="s">
        <v>5</v>
      </c>
      <c r="E12" s="9" t="s">
        <v>6</v>
      </c>
      <c r="F12" s="9" t="s">
        <v>7</v>
      </c>
      <c r="G12" s="9" t="s">
        <v>8</v>
      </c>
      <c r="H12" s="10"/>
      <c r="I12" s="10"/>
      <c r="J12" s="9" t="s">
        <v>4</v>
      </c>
      <c r="K12" s="9" t="s">
        <v>5</v>
      </c>
      <c r="L12" s="9" t="s">
        <v>6</v>
      </c>
      <c r="M12" s="9" t="s">
        <v>7</v>
      </c>
      <c r="N12" s="9" t="s">
        <v>8</v>
      </c>
      <c r="O12" s="10"/>
      <c r="P12" s="10"/>
      <c r="Q12" s="9" t="s">
        <v>4</v>
      </c>
      <c r="R12" s="9" t="s">
        <v>5</v>
      </c>
      <c r="S12" s="9" t="s">
        <v>6</v>
      </c>
      <c r="T12" s="9" t="s">
        <v>7</v>
      </c>
      <c r="U12" s="9" t="s">
        <v>8</v>
      </c>
      <c r="V12" s="10"/>
      <c r="W12" s="10"/>
      <c r="X12" s="9" t="s">
        <v>4</v>
      </c>
      <c r="Y12" s="9" t="s">
        <v>5</v>
      </c>
      <c r="Z12" s="9" t="s">
        <v>6</v>
      </c>
      <c r="AA12" s="9" t="s">
        <v>7</v>
      </c>
      <c r="AB12" s="9" t="s">
        <v>8</v>
      </c>
      <c r="AC12" s="10"/>
      <c r="AD12" s="10"/>
      <c r="AE12" s="9" t="s">
        <v>4</v>
      </c>
      <c r="AF12" s="9" t="s">
        <v>5</v>
      </c>
      <c r="AG12" s="94">
        <f>A8</f>
        <v>46174</v>
      </c>
      <c r="AH12" s="95"/>
      <c r="AI12" s="95"/>
      <c r="AJ12" s="95"/>
      <c r="AK12" s="95"/>
      <c r="AL12" s="95"/>
      <c r="AM12" s="95"/>
      <c r="AN12" s="95"/>
      <c r="AO12" s="95"/>
      <c r="AP12" s="96"/>
      <c r="AQ12" s="97" t="s">
        <v>9</v>
      </c>
      <c r="AR12" s="98"/>
      <c r="AS12" s="98"/>
      <c r="AT12" s="98"/>
      <c r="AU12" s="99"/>
    </row>
    <row r="13" spans="1:49" ht="15.6" x14ac:dyDescent="0.3">
      <c r="A13" s="92"/>
      <c r="B13" s="92"/>
      <c r="C13" s="14">
        <v>1</v>
      </c>
      <c r="D13" s="14">
        <v>2</v>
      </c>
      <c r="E13" s="14">
        <v>3</v>
      </c>
      <c r="F13" s="14">
        <v>4</v>
      </c>
      <c r="G13" s="14">
        <v>5</v>
      </c>
      <c r="H13" s="15">
        <v>6</v>
      </c>
      <c r="I13" s="15">
        <v>7</v>
      </c>
      <c r="J13" s="14">
        <v>8</v>
      </c>
      <c r="K13" s="14">
        <v>9</v>
      </c>
      <c r="L13" s="14">
        <v>10</v>
      </c>
      <c r="M13" s="14">
        <v>11</v>
      </c>
      <c r="N13" s="14">
        <v>12</v>
      </c>
      <c r="O13" s="15">
        <v>13</v>
      </c>
      <c r="P13" s="15">
        <v>14</v>
      </c>
      <c r="Q13" s="14">
        <v>15</v>
      </c>
      <c r="R13" s="14">
        <v>16</v>
      </c>
      <c r="S13" s="14">
        <v>17</v>
      </c>
      <c r="T13" s="14">
        <v>18</v>
      </c>
      <c r="U13" s="14">
        <v>19</v>
      </c>
      <c r="V13" s="15">
        <v>20</v>
      </c>
      <c r="W13" s="15">
        <v>21</v>
      </c>
      <c r="X13" s="14">
        <v>22</v>
      </c>
      <c r="Y13" s="14">
        <v>23</v>
      </c>
      <c r="Z13" s="14">
        <v>24</v>
      </c>
      <c r="AA13" s="14">
        <v>25</v>
      </c>
      <c r="AB13" s="14">
        <v>26</v>
      </c>
      <c r="AC13" s="15">
        <v>27</v>
      </c>
      <c r="AD13" s="15">
        <v>28</v>
      </c>
      <c r="AE13" s="14">
        <v>29</v>
      </c>
      <c r="AF13" s="14">
        <v>30</v>
      </c>
      <c r="AG13" s="16"/>
      <c r="AH13" s="17"/>
      <c r="AI13" s="17"/>
      <c r="AJ13" s="17"/>
      <c r="AK13" s="17"/>
      <c r="AL13" s="17"/>
      <c r="AM13" s="17"/>
      <c r="AN13" s="17"/>
      <c r="AO13" s="18"/>
      <c r="AP13" s="19"/>
      <c r="AQ13" s="11"/>
      <c r="AR13" s="12"/>
      <c r="AS13" s="12"/>
      <c r="AT13" s="12"/>
      <c r="AU13" s="13"/>
    </row>
    <row r="14" spans="1:49" ht="41.4" x14ac:dyDescent="0.3">
      <c r="A14" s="92"/>
      <c r="B14" s="92"/>
      <c r="C14" s="21"/>
      <c r="D14" s="22"/>
      <c r="E14" s="23"/>
      <c r="F14" s="23"/>
      <c r="G14" s="23"/>
      <c r="H14" s="24"/>
      <c r="I14" s="24"/>
      <c r="J14" s="23"/>
      <c r="K14" s="23"/>
      <c r="L14" s="23"/>
      <c r="M14" s="23"/>
      <c r="N14" s="23"/>
      <c r="O14" s="24"/>
      <c r="P14" s="24"/>
      <c r="Q14" s="20"/>
      <c r="R14" s="20"/>
      <c r="S14" s="20"/>
      <c r="T14" s="25"/>
      <c r="U14" s="25"/>
      <c r="V14" s="24"/>
      <c r="W14" s="24"/>
      <c r="X14" s="23"/>
      <c r="Y14" s="23"/>
      <c r="Z14" s="23"/>
      <c r="AA14" s="23"/>
      <c r="AB14" s="23"/>
      <c r="AC14" s="24"/>
      <c r="AD14" s="24"/>
      <c r="AE14" s="22"/>
      <c r="AF14" s="20"/>
      <c r="AG14" s="26" t="s">
        <v>10</v>
      </c>
      <c r="AH14" s="27" t="s">
        <v>11</v>
      </c>
      <c r="AI14" s="27" t="s">
        <v>12</v>
      </c>
      <c r="AJ14" s="27" t="s">
        <v>13</v>
      </c>
      <c r="AK14" s="27" t="s">
        <v>14</v>
      </c>
      <c r="AL14" s="27" t="s">
        <v>15</v>
      </c>
      <c r="AM14" s="27" t="s">
        <v>16</v>
      </c>
      <c r="AN14" s="27" t="s">
        <v>17</v>
      </c>
      <c r="AO14" s="28" t="s">
        <v>18</v>
      </c>
      <c r="AP14" s="28" t="s">
        <v>19</v>
      </c>
      <c r="AQ14" s="29" t="s">
        <v>20</v>
      </c>
      <c r="AR14" s="29" t="s">
        <v>21</v>
      </c>
      <c r="AS14" s="29" t="s">
        <v>22</v>
      </c>
      <c r="AT14" s="29" t="s">
        <v>23</v>
      </c>
      <c r="AU14" s="29" t="s">
        <v>24</v>
      </c>
    </row>
    <row r="15" spans="1:49" x14ac:dyDescent="0.3">
      <c r="A15" s="93"/>
      <c r="B15" s="93"/>
      <c r="C15" s="20"/>
      <c r="D15" s="20"/>
      <c r="E15" s="25"/>
      <c r="F15" s="25"/>
      <c r="G15" s="25"/>
      <c r="H15" s="30"/>
      <c r="I15" s="30"/>
      <c r="J15" s="25"/>
      <c r="K15" s="25"/>
      <c r="L15" s="25"/>
      <c r="M15" s="25"/>
      <c r="N15" s="25"/>
      <c r="O15" s="30"/>
      <c r="P15" s="30"/>
      <c r="Q15" s="20"/>
      <c r="R15" s="20"/>
      <c r="S15" s="20"/>
      <c r="T15" s="25"/>
      <c r="U15" s="25"/>
      <c r="V15" s="30"/>
      <c r="W15" s="30"/>
      <c r="X15" s="31"/>
      <c r="Y15" s="25"/>
      <c r="Z15" s="25"/>
      <c r="AA15" s="25"/>
      <c r="AB15" s="25"/>
      <c r="AC15" s="30"/>
      <c r="AD15" s="30"/>
      <c r="AE15" s="20"/>
      <c r="AF15" s="20"/>
      <c r="AG15" s="32" t="s">
        <v>25</v>
      </c>
      <c r="AH15" s="33" t="s">
        <v>26</v>
      </c>
      <c r="AI15" s="33" t="s">
        <v>27</v>
      </c>
      <c r="AJ15" s="33" t="s">
        <v>28</v>
      </c>
      <c r="AK15" s="33" t="s">
        <v>29</v>
      </c>
      <c r="AL15" s="33" t="s">
        <v>30</v>
      </c>
      <c r="AM15" s="33" t="s">
        <v>31</v>
      </c>
      <c r="AN15" s="33" t="s">
        <v>32</v>
      </c>
      <c r="AO15" s="34" t="s">
        <v>33</v>
      </c>
      <c r="AP15" s="34" t="s">
        <v>34</v>
      </c>
      <c r="AQ15" s="35"/>
      <c r="AR15" s="35"/>
      <c r="AS15" s="35"/>
      <c r="AT15" s="35"/>
      <c r="AU15" s="36"/>
    </row>
    <row r="16" spans="1:49" x14ac:dyDescent="0.3">
      <c r="A16" s="37"/>
      <c r="B16" s="37"/>
      <c r="C16" s="38"/>
      <c r="D16" s="38"/>
      <c r="E16" s="31"/>
      <c r="F16" s="25"/>
      <c r="G16" s="31"/>
      <c r="H16" s="39"/>
      <c r="I16" s="39"/>
      <c r="J16" s="25"/>
      <c r="K16" s="25"/>
      <c r="L16" s="25"/>
      <c r="M16" s="25"/>
      <c r="N16" s="25"/>
      <c r="O16" s="39"/>
      <c r="P16" s="39"/>
      <c r="Q16" s="20"/>
      <c r="R16" s="20"/>
      <c r="S16" s="20"/>
      <c r="T16" s="25"/>
      <c r="U16" s="25"/>
      <c r="V16" s="39"/>
      <c r="W16" s="39"/>
      <c r="X16" s="31"/>
      <c r="Y16" s="25"/>
      <c r="Z16" s="25"/>
      <c r="AA16" s="25"/>
      <c r="AB16" s="25"/>
      <c r="AC16" s="39"/>
      <c r="AD16" s="39"/>
      <c r="AE16" s="20"/>
      <c r="AF16" s="20"/>
      <c r="AG16" s="40">
        <f>COUNTA(C12:AD12)</f>
        <v>20</v>
      </c>
      <c r="AH16" s="41"/>
      <c r="AI16" s="41"/>
      <c r="AJ16" s="41"/>
      <c r="AK16" s="41"/>
      <c r="AL16" s="41"/>
      <c r="AM16" s="41"/>
      <c r="AN16" s="41"/>
      <c r="AO16" s="41"/>
      <c r="AP16" s="41"/>
      <c r="AQ16" s="35"/>
      <c r="AR16" s="35"/>
      <c r="AS16" s="35"/>
      <c r="AT16" s="35"/>
      <c r="AU16" s="36"/>
    </row>
    <row r="17" spans="1:47" x14ac:dyDescent="0.3">
      <c r="A17" s="42">
        <v>1</v>
      </c>
      <c r="B17" s="43" t="s">
        <v>35</v>
      </c>
      <c r="C17" s="38"/>
      <c r="D17" s="38"/>
      <c r="E17" s="31"/>
      <c r="F17" s="25"/>
      <c r="G17" s="31"/>
      <c r="H17" s="39"/>
      <c r="I17" s="39"/>
      <c r="J17" s="25"/>
      <c r="K17" s="25"/>
      <c r="L17" s="25"/>
      <c r="M17" s="25"/>
      <c r="N17" s="25"/>
      <c r="O17" s="39"/>
      <c r="P17" s="39"/>
      <c r="Q17" s="20"/>
      <c r="R17" s="20"/>
      <c r="S17" s="20"/>
      <c r="T17" s="25"/>
      <c r="U17" s="25"/>
      <c r="V17" s="39"/>
      <c r="W17" s="39"/>
      <c r="X17" s="31"/>
      <c r="Y17" s="25"/>
      <c r="Z17" s="25"/>
      <c r="AA17" s="25"/>
      <c r="AB17" s="25"/>
      <c r="AC17" s="39"/>
      <c r="AD17" s="39"/>
      <c r="AE17" s="20"/>
      <c r="AF17" s="20"/>
      <c r="AG17" s="41">
        <f>(AG$16)-AJ17-AP17</f>
        <v>20</v>
      </c>
      <c r="AH17" s="41">
        <f t="shared" ref="AH17:AH39" si="0">COUNTIF(C17:AF17,"HIP")</f>
        <v>0</v>
      </c>
      <c r="AI17" s="41">
        <f t="shared" ref="AI17:AI48" si="1">COUNTIF(C17:AF17,"HIS")</f>
        <v>0</v>
      </c>
      <c r="AJ17" s="41">
        <f t="shared" ref="AJ17:AJ48" si="2">COUNTIF(C17:AF17,"I")</f>
        <v>0</v>
      </c>
      <c r="AK17" s="41">
        <f t="shared" ref="AK17:AK48" si="3">COUNTIF(C17:AF17,"IL")</f>
        <v>0</v>
      </c>
      <c r="AL17" s="41">
        <f t="shared" ref="AL17:AL48" si="4">COUNTIF(C17:AF17,"PM")</f>
        <v>0</v>
      </c>
      <c r="AM17" s="41">
        <f t="shared" ref="AM17:AM48" si="5">COUNTIF(C17:AF17,"OTL")</f>
        <v>0</v>
      </c>
      <c r="AN17" s="41">
        <f t="shared" ref="AN17:AN48" si="6">COUNTIF(C17:AF17,"AL")</f>
        <v>0</v>
      </c>
      <c r="AO17" s="41">
        <f t="shared" ref="AO17:AO48" si="7">COUNTIF(C17:AF17,"DL")</f>
        <v>0</v>
      </c>
      <c r="AP17" s="41">
        <f>COUNTIF(C17:AF17,"A")</f>
        <v>0</v>
      </c>
      <c r="AQ17" s="35" t="e">
        <f>((AG17*2)+((AH17+AI17)*-1)+(AJ17*-1)+(AP17*-3))+(#REF!*-0.5)</f>
        <v>#REF!</v>
      </c>
      <c r="AR17" s="35">
        <f t="shared" ref="AR17:AR48" si="8">AG17*2</f>
        <v>40</v>
      </c>
      <c r="AS17" s="35" t="e">
        <f t="shared" ref="AS17:AS78" si="9">AQ17/AR17*100</f>
        <v>#REF!</v>
      </c>
      <c r="AT17" s="35" t="e">
        <f t="shared" ref="AT17:AT78" si="10">IF(AS17=100,$AZ$14,IF(AND(AS17&lt;100,AS17&gt;89),$AZ$15,IF(AND(AS17&lt;90,AS17&gt;79),$AZ$16,IF(AND(AS17&lt;80,AS17&gt;64),$BD$14,IF(AND(AS17&lt;65,AS17&gt;=50),$BD$15,$BD$16)))))</f>
        <v>#REF!</v>
      </c>
      <c r="AU17" s="36" t="e">
        <f t="shared" ref="AU17:AU78" si="11">AT17*0.2</f>
        <v>#REF!</v>
      </c>
    </row>
    <row r="18" spans="1:47" x14ac:dyDescent="0.3">
      <c r="A18" s="42">
        <v>3</v>
      </c>
      <c r="B18" s="43" t="s">
        <v>36</v>
      </c>
      <c r="C18" s="38"/>
      <c r="D18" s="38"/>
      <c r="E18" s="31"/>
      <c r="F18" s="25"/>
      <c r="G18" s="31"/>
      <c r="H18" s="39"/>
      <c r="I18" s="39"/>
      <c r="J18" s="25"/>
      <c r="K18" s="25"/>
      <c r="L18" s="25"/>
      <c r="M18" s="25"/>
      <c r="N18" s="25"/>
      <c r="O18" s="39"/>
      <c r="P18" s="39"/>
      <c r="Q18" s="20"/>
      <c r="R18" s="20"/>
      <c r="S18" s="20"/>
      <c r="T18" s="25"/>
      <c r="U18" s="25"/>
      <c r="V18" s="39"/>
      <c r="W18" s="39"/>
      <c r="X18" s="31"/>
      <c r="Y18" s="25"/>
      <c r="Z18" s="25"/>
      <c r="AA18" s="25"/>
      <c r="AB18" s="25"/>
      <c r="AC18" s="39"/>
      <c r="AD18" s="39"/>
      <c r="AE18" s="20"/>
      <c r="AF18" s="20"/>
      <c r="AG18" s="41">
        <f>(AG$16)-AJ18-AP18</f>
        <v>20</v>
      </c>
      <c r="AH18" s="41">
        <f t="shared" si="0"/>
        <v>0</v>
      </c>
      <c r="AI18" s="41">
        <f t="shared" si="1"/>
        <v>0</v>
      </c>
      <c r="AJ18" s="41">
        <f t="shared" si="2"/>
        <v>0</v>
      </c>
      <c r="AK18" s="41">
        <f t="shared" si="3"/>
        <v>0</v>
      </c>
      <c r="AL18" s="41">
        <f t="shared" si="4"/>
        <v>0</v>
      </c>
      <c r="AM18" s="41">
        <f t="shared" si="5"/>
        <v>0</v>
      </c>
      <c r="AN18" s="41">
        <f t="shared" si="6"/>
        <v>0</v>
      </c>
      <c r="AO18" s="41">
        <f t="shared" si="7"/>
        <v>0</v>
      </c>
      <c r="AP18" s="41">
        <f>COUNTIF(C18:AF18,"A")</f>
        <v>0</v>
      </c>
      <c r="AQ18" s="35" t="e">
        <f>((AG18*2)+((AH18+AI18)*-1)+(AJ18*-1)+(AP18*-3))+(#REF!*-0.5)</f>
        <v>#REF!</v>
      </c>
      <c r="AR18" s="35">
        <f t="shared" si="8"/>
        <v>40</v>
      </c>
      <c r="AS18" s="35" t="e">
        <f t="shared" si="9"/>
        <v>#REF!</v>
      </c>
      <c r="AT18" s="35" t="e">
        <f t="shared" si="10"/>
        <v>#REF!</v>
      </c>
      <c r="AU18" s="36" t="e">
        <f t="shared" si="11"/>
        <v>#REF!</v>
      </c>
    </row>
    <row r="19" spans="1:47" x14ac:dyDescent="0.3">
      <c r="A19" s="42">
        <v>4</v>
      </c>
      <c r="B19" s="43" t="s">
        <v>37</v>
      </c>
      <c r="C19" s="38"/>
      <c r="D19" s="38"/>
      <c r="E19" s="31"/>
      <c r="F19" s="25"/>
      <c r="G19" s="31"/>
      <c r="H19" s="39"/>
      <c r="I19" s="39"/>
      <c r="J19" s="25"/>
      <c r="K19" s="25"/>
      <c r="L19" s="25"/>
      <c r="M19" s="25"/>
      <c r="N19" s="25"/>
      <c r="O19" s="39"/>
      <c r="P19" s="39"/>
      <c r="Q19" s="20"/>
      <c r="R19" s="20"/>
      <c r="S19" s="20"/>
      <c r="T19" s="25"/>
      <c r="U19" s="25"/>
      <c r="V19" s="39"/>
      <c r="W19" s="39"/>
      <c r="X19" s="31"/>
      <c r="Y19" s="25"/>
      <c r="Z19" s="25"/>
      <c r="AA19" s="25"/>
      <c r="AB19" s="25"/>
      <c r="AC19" s="39"/>
      <c r="AD19" s="39"/>
      <c r="AE19" s="20"/>
      <c r="AF19" s="20"/>
      <c r="AG19" s="41">
        <f>(AG$16)-AJ19-AP19</f>
        <v>20</v>
      </c>
      <c r="AH19" s="41">
        <f t="shared" si="0"/>
        <v>0</v>
      </c>
      <c r="AI19" s="41">
        <f t="shared" si="1"/>
        <v>0</v>
      </c>
      <c r="AJ19" s="41">
        <f t="shared" si="2"/>
        <v>0</v>
      </c>
      <c r="AK19" s="41">
        <f t="shared" si="3"/>
        <v>0</v>
      </c>
      <c r="AL19" s="41">
        <f t="shared" si="4"/>
        <v>0</v>
      </c>
      <c r="AM19" s="41">
        <f t="shared" si="5"/>
        <v>0</v>
      </c>
      <c r="AN19" s="41">
        <f t="shared" si="6"/>
        <v>0</v>
      </c>
      <c r="AO19" s="41">
        <f t="shared" si="7"/>
        <v>0</v>
      </c>
      <c r="AP19" s="41">
        <f>COUNTIF(C19:AF19,"A")</f>
        <v>0</v>
      </c>
      <c r="AQ19" s="35" t="e">
        <f>((AG19*2)+((AH19+AI19)*-1)+(AJ19*-1)+(AP19*-3))+(#REF!*-0.5)</f>
        <v>#REF!</v>
      </c>
      <c r="AR19" s="35">
        <f t="shared" si="8"/>
        <v>40</v>
      </c>
      <c r="AS19" s="35" t="e">
        <f t="shared" si="9"/>
        <v>#REF!</v>
      </c>
      <c r="AT19" s="35" t="e">
        <f t="shared" si="10"/>
        <v>#REF!</v>
      </c>
      <c r="AU19" s="36" t="e">
        <f t="shared" si="11"/>
        <v>#REF!</v>
      </c>
    </row>
    <row r="20" spans="1:47" x14ac:dyDescent="0.3">
      <c r="A20" s="42">
        <v>5</v>
      </c>
      <c r="B20" s="43" t="s">
        <v>38</v>
      </c>
      <c r="C20" s="38"/>
      <c r="D20" s="38"/>
      <c r="E20" s="31"/>
      <c r="F20" s="25"/>
      <c r="G20" s="31"/>
      <c r="H20" s="39"/>
      <c r="I20" s="39"/>
      <c r="J20" s="25"/>
      <c r="K20" s="25"/>
      <c r="L20" s="25"/>
      <c r="M20" s="25"/>
      <c r="N20" s="25"/>
      <c r="O20" s="39"/>
      <c r="P20" s="39"/>
      <c r="Q20" s="20"/>
      <c r="R20" s="20"/>
      <c r="S20" s="20"/>
      <c r="T20" s="25"/>
      <c r="U20" s="25"/>
      <c r="V20" s="39"/>
      <c r="W20" s="39"/>
      <c r="X20" s="31"/>
      <c r="Y20" s="25"/>
      <c r="Z20" s="25"/>
      <c r="AA20" s="25"/>
      <c r="AB20" s="25"/>
      <c r="AC20" s="39"/>
      <c r="AD20" s="39"/>
      <c r="AE20" s="20"/>
      <c r="AF20" s="20"/>
      <c r="AG20" s="41">
        <f>(AG$16)-AJ20-AP20</f>
        <v>20</v>
      </c>
      <c r="AH20" s="41">
        <f t="shared" si="0"/>
        <v>0</v>
      </c>
      <c r="AI20" s="41">
        <f t="shared" si="1"/>
        <v>0</v>
      </c>
      <c r="AJ20" s="41">
        <f t="shared" si="2"/>
        <v>0</v>
      </c>
      <c r="AK20" s="41">
        <f t="shared" si="3"/>
        <v>0</v>
      </c>
      <c r="AL20" s="41">
        <f t="shared" si="4"/>
        <v>0</v>
      </c>
      <c r="AM20" s="41">
        <f t="shared" si="5"/>
        <v>0</v>
      </c>
      <c r="AN20" s="41">
        <f t="shared" si="6"/>
        <v>0</v>
      </c>
      <c r="AO20" s="41">
        <f t="shared" si="7"/>
        <v>0</v>
      </c>
      <c r="AP20" s="41">
        <f>COUNTIF(C20:AF20,"A")</f>
        <v>0</v>
      </c>
      <c r="AQ20" s="35" t="e">
        <f>((AG20*2)+((AH20+AI20)*-1)+(AJ20*-1)+(AP20*-3))+(#REF!*-0.5)</f>
        <v>#REF!</v>
      </c>
      <c r="AR20" s="35">
        <f t="shared" si="8"/>
        <v>40</v>
      </c>
      <c r="AS20" s="35" t="e">
        <f t="shared" si="9"/>
        <v>#REF!</v>
      </c>
      <c r="AT20" s="35" t="e">
        <f t="shared" si="10"/>
        <v>#REF!</v>
      </c>
      <c r="AU20" s="36" t="e">
        <f t="shared" si="11"/>
        <v>#REF!</v>
      </c>
    </row>
    <row r="21" spans="1:47" x14ac:dyDescent="0.3">
      <c r="A21" s="42">
        <v>6</v>
      </c>
      <c r="B21" s="44" t="s">
        <v>39</v>
      </c>
      <c r="C21" s="38"/>
      <c r="D21" s="38"/>
      <c r="E21" s="31"/>
      <c r="F21" s="25"/>
      <c r="G21" s="31"/>
      <c r="H21" s="39"/>
      <c r="I21" s="39"/>
      <c r="J21" s="25"/>
      <c r="K21" s="25"/>
      <c r="L21" s="25"/>
      <c r="M21" s="25"/>
      <c r="N21" s="25"/>
      <c r="O21" s="39"/>
      <c r="P21" s="39"/>
      <c r="Q21" s="20"/>
      <c r="R21" s="20"/>
      <c r="S21" s="20"/>
      <c r="T21" s="25"/>
      <c r="U21" s="25"/>
      <c r="V21" s="39"/>
      <c r="W21" s="39"/>
      <c r="X21" s="31"/>
      <c r="Y21" s="25"/>
      <c r="Z21" s="25"/>
      <c r="AA21" s="25"/>
      <c r="AB21" s="25"/>
      <c r="AC21" s="39"/>
      <c r="AD21" s="39"/>
      <c r="AE21" s="20"/>
      <c r="AF21" s="20"/>
      <c r="AG21" s="41">
        <f>(AG$16)-AJ21-AP21</f>
        <v>20</v>
      </c>
      <c r="AH21" s="41">
        <f t="shared" si="0"/>
        <v>0</v>
      </c>
      <c r="AI21" s="41">
        <f t="shared" si="1"/>
        <v>0</v>
      </c>
      <c r="AJ21" s="41">
        <f t="shared" si="2"/>
        <v>0</v>
      </c>
      <c r="AK21" s="41">
        <f t="shared" si="3"/>
        <v>0</v>
      </c>
      <c r="AL21" s="41">
        <f t="shared" si="4"/>
        <v>0</v>
      </c>
      <c r="AM21" s="41">
        <f t="shared" si="5"/>
        <v>0</v>
      </c>
      <c r="AN21" s="41">
        <f t="shared" si="6"/>
        <v>0</v>
      </c>
      <c r="AO21" s="41">
        <f t="shared" si="7"/>
        <v>0</v>
      </c>
      <c r="AP21" s="41">
        <f>COUNTIF(C21:AF21,"A")</f>
        <v>0</v>
      </c>
      <c r="AQ21" s="35" t="e">
        <f>((AG21*2)+((AH21+AI21)*-1)+(AJ21*-1)+(AP21*-3))+(#REF!*-0.5)</f>
        <v>#REF!</v>
      </c>
      <c r="AR21" s="35">
        <f t="shared" si="8"/>
        <v>40</v>
      </c>
      <c r="AS21" s="35" t="e">
        <f t="shared" si="9"/>
        <v>#REF!</v>
      </c>
      <c r="AT21" s="35" t="e">
        <f t="shared" si="10"/>
        <v>#REF!</v>
      </c>
      <c r="AU21" s="36" t="e">
        <f t="shared" si="11"/>
        <v>#REF!</v>
      </c>
    </row>
    <row r="22" spans="1:47" x14ac:dyDescent="0.3">
      <c r="A22" s="42">
        <v>7</v>
      </c>
      <c r="B22" s="44" t="s">
        <v>40</v>
      </c>
      <c r="C22" s="38"/>
      <c r="D22" s="38"/>
      <c r="E22" s="31"/>
      <c r="F22" s="25"/>
      <c r="G22" s="31"/>
      <c r="H22" s="39"/>
      <c r="I22" s="39"/>
      <c r="J22" s="25"/>
      <c r="K22" s="25"/>
      <c r="L22" s="25"/>
      <c r="M22" s="25"/>
      <c r="N22" s="25"/>
      <c r="O22" s="39"/>
      <c r="P22" s="39"/>
      <c r="Q22" s="20"/>
      <c r="R22" s="20"/>
      <c r="S22" s="20"/>
      <c r="T22" s="25"/>
      <c r="U22" s="25"/>
      <c r="V22" s="39"/>
      <c r="W22" s="39"/>
      <c r="X22" s="31"/>
      <c r="Y22" s="25"/>
      <c r="Z22" s="25"/>
      <c r="AA22" s="25"/>
      <c r="AB22" s="25"/>
      <c r="AC22" s="39"/>
      <c r="AD22" s="39"/>
      <c r="AE22" s="20"/>
      <c r="AF22" s="20"/>
      <c r="AG22" s="41">
        <f>(AG$16)-AJ22-AP22</f>
        <v>20</v>
      </c>
      <c r="AH22" s="41">
        <f t="shared" si="0"/>
        <v>0</v>
      </c>
      <c r="AI22" s="41">
        <f t="shared" si="1"/>
        <v>0</v>
      </c>
      <c r="AJ22" s="41">
        <f t="shared" si="2"/>
        <v>0</v>
      </c>
      <c r="AK22" s="41">
        <f t="shared" si="3"/>
        <v>0</v>
      </c>
      <c r="AL22" s="41">
        <f t="shared" si="4"/>
        <v>0</v>
      </c>
      <c r="AM22" s="41">
        <f t="shared" si="5"/>
        <v>0</v>
      </c>
      <c r="AN22" s="41">
        <f t="shared" si="6"/>
        <v>0</v>
      </c>
      <c r="AO22" s="41">
        <f t="shared" si="7"/>
        <v>0</v>
      </c>
      <c r="AP22" s="41">
        <f>COUNTIF(C22:AF22,"A")</f>
        <v>0</v>
      </c>
      <c r="AQ22" s="35" t="e">
        <f>((AG22*2)+((AH22+AI22)*-1)+(AJ22*-1)+(AP22*-3))+(#REF!*-0.5)</f>
        <v>#REF!</v>
      </c>
      <c r="AR22" s="35">
        <f t="shared" si="8"/>
        <v>40</v>
      </c>
      <c r="AS22" s="35" t="e">
        <f t="shared" si="9"/>
        <v>#REF!</v>
      </c>
      <c r="AT22" s="35" t="e">
        <f t="shared" si="10"/>
        <v>#REF!</v>
      </c>
      <c r="AU22" s="36" t="e">
        <f t="shared" si="11"/>
        <v>#REF!</v>
      </c>
    </row>
    <row r="23" spans="1:47" x14ac:dyDescent="0.3">
      <c r="A23" s="42">
        <v>8</v>
      </c>
      <c r="B23" s="44" t="s">
        <v>41</v>
      </c>
      <c r="C23" s="38"/>
      <c r="D23" s="38"/>
      <c r="E23" s="31"/>
      <c r="F23" s="25"/>
      <c r="G23" s="31"/>
      <c r="H23" s="39"/>
      <c r="I23" s="39"/>
      <c r="J23" s="25"/>
      <c r="K23" s="25"/>
      <c r="L23" s="25"/>
      <c r="M23" s="25"/>
      <c r="N23" s="25"/>
      <c r="O23" s="39"/>
      <c r="P23" s="39"/>
      <c r="Q23" s="20"/>
      <c r="R23" s="20"/>
      <c r="S23" s="20"/>
      <c r="T23" s="25"/>
      <c r="U23" s="25"/>
      <c r="V23" s="39"/>
      <c r="W23" s="39"/>
      <c r="X23" s="31"/>
      <c r="Y23" s="25"/>
      <c r="Z23" s="25"/>
      <c r="AA23" s="25"/>
      <c r="AB23" s="25"/>
      <c r="AC23" s="39"/>
      <c r="AD23" s="39"/>
      <c r="AE23" s="20"/>
      <c r="AF23" s="20"/>
      <c r="AG23" s="41">
        <f>(AG$16)-AJ23-AP23</f>
        <v>20</v>
      </c>
      <c r="AH23" s="41">
        <f t="shared" si="0"/>
        <v>0</v>
      </c>
      <c r="AI23" s="41">
        <f t="shared" si="1"/>
        <v>0</v>
      </c>
      <c r="AJ23" s="41">
        <f t="shared" si="2"/>
        <v>0</v>
      </c>
      <c r="AK23" s="41">
        <f t="shared" si="3"/>
        <v>0</v>
      </c>
      <c r="AL23" s="41">
        <f t="shared" si="4"/>
        <v>0</v>
      </c>
      <c r="AM23" s="41">
        <f t="shared" si="5"/>
        <v>0</v>
      </c>
      <c r="AN23" s="41">
        <f t="shared" si="6"/>
        <v>0</v>
      </c>
      <c r="AO23" s="41">
        <f t="shared" si="7"/>
        <v>0</v>
      </c>
      <c r="AP23" s="41">
        <f>COUNTIF(C23:AF23,"A")</f>
        <v>0</v>
      </c>
      <c r="AQ23" s="35" t="e">
        <f>((AG23*2)+((AH23+AI23)*-1)+(AJ23*-1)+(AP23*-3))+(#REF!*-0.5)</f>
        <v>#REF!</v>
      </c>
      <c r="AR23" s="35">
        <f t="shared" si="8"/>
        <v>40</v>
      </c>
      <c r="AS23" s="35" t="e">
        <f t="shared" si="9"/>
        <v>#REF!</v>
      </c>
      <c r="AT23" s="35" t="e">
        <f t="shared" si="10"/>
        <v>#REF!</v>
      </c>
      <c r="AU23" s="36" t="e">
        <f t="shared" si="11"/>
        <v>#REF!</v>
      </c>
    </row>
    <row r="24" spans="1:47" x14ac:dyDescent="0.3">
      <c r="A24" s="42">
        <v>9</v>
      </c>
      <c r="B24" s="44" t="s">
        <v>42</v>
      </c>
      <c r="C24" s="38"/>
      <c r="D24" s="38"/>
      <c r="E24" s="31"/>
      <c r="F24" s="25"/>
      <c r="G24" s="31"/>
      <c r="H24" s="39"/>
      <c r="I24" s="39"/>
      <c r="J24" s="25"/>
      <c r="K24" s="25"/>
      <c r="L24" s="25"/>
      <c r="M24" s="25"/>
      <c r="N24" s="25"/>
      <c r="O24" s="39"/>
      <c r="P24" s="39"/>
      <c r="Q24" s="20"/>
      <c r="R24" s="20"/>
      <c r="S24" s="20"/>
      <c r="T24" s="25"/>
      <c r="U24" s="25"/>
      <c r="V24" s="39"/>
      <c r="W24" s="39"/>
      <c r="X24" s="31"/>
      <c r="Y24" s="25"/>
      <c r="Z24" s="25"/>
      <c r="AA24" s="25"/>
      <c r="AB24" s="25"/>
      <c r="AC24" s="39"/>
      <c r="AD24" s="39"/>
      <c r="AE24" s="20"/>
      <c r="AF24" s="20"/>
      <c r="AG24" s="41">
        <f>(AG$16)-AJ24-AP24</f>
        <v>20</v>
      </c>
      <c r="AH24" s="41">
        <f t="shared" si="0"/>
        <v>0</v>
      </c>
      <c r="AI24" s="41">
        <f t="shared" si="1"/>
        <v>0</v>
      </c>
      <c r="AJ24" s="41">
        <f t="shared" si="2"/>
        <v>0</v>
      </c>
      <c r="AK24" s="41">
        <f t="shared" si="3"/>
        <v>0</v>
      </c>
      <c r="AL24" s="41">
        <f t="shared" si="4"/>
        <v>0</v>
      </c>
      <c r="AM24" s="41">
        <f t="shared" si="5"/>
        <v>0</v>
      </c>
      <c r="AN24" s="41">
        <f t="shared" si="6"/>
        <v>0</v>
      </c>
      <c r="AO24" s="41">
        <f t="shared" si="7"/>
        <v>0</v>
      </c>
      <c r="AP24" s="41">
        <f>COUNTIF(C24:AF24,"A")</f>
        <v>0</v>
      </c>
      <c r="AQ24" s="35" t="e">
        <f>((AG24*2)+((AH24+AI24)*-1)+(AJ24*-1)+(AP24*-3))+(#REF!*-0.5)</f>
        <v>#REF!</v>
      </c>
      <c r="AR24" s="35">
        <f t="shared" si="8"/>
        <v>40</v>
      </c>
      <c r="AS24" s="35" t="e">
        <f t="shared" si="9"/>
        <v>#REF!</v>
      </c>
      <c r="AT24" s="35" t="e">
        <f t="shared" si="10"/>
        <v>#REF!</v>
      </c>
      <c r="AU24" s="36" t="e">
        <f t="shared" si="11"/>
        <v>#REF!</v>
      </c>
    </row>
    <row r="25" spans="1:47" x14ac:dyDescent="0.3">
      <c r="A25" s="42">
        <v>10</v>
      </c>
      <c r="B25" s="44" t="s">
        <v>43</v>
      </c>
      <c r="C25" s="38"/>
      <c r="D25" s="38"/>
      <c r="E25" s="31"/>
      <c r="F25" s="25"/>
      <c r="G25" s="31"/>
      <c r="H25" s="39"/>
      <c r="I25" s="39"/>
      <c r="J25" s="25"/>
      <c r="K25" s="25"/>
      <c r="L25" s="25"/>
      <c r="M25" s="25"/>
      <c r="N25" s="25"/>
      <c r="O25" s="39"/>
      <c r="P25" s="39"/>
      <c r="Q25" s="20"/>
      <c r="R25" s="20"/>
      <c r="S25" s="20"/>
      <c r="T25" s="25"/>
      <c r="U25" s="25"/>
      <c r="V25" s="39"/>
      <c r="W25" s="39"/>
      <c r="X25" s="31"/>
      <c r="Y25" s="25"/>
      <c r="Z25" s="25"/>
      <c r="AA25" s="25"/>
      <c r="AB25" s="25"/>
      <c r="AC25" s="39"/>
      <c r="AD25" s="39"/>
      <c r="AE25" s="20"/>
      <c r="AF25" s="20"/>
      <c r="AG25" s="41">
        <f>(AG$16)-AJ25-AP25</f>
        <v>20</v>
      </c>
      <c r="AH25" s="41">
        <f t="shared" si="0"/>
        <v>0</v>
      </c>
      <c r="AI25" s="41">
        <f t="shared" si="1"/>
        <v>0</v>
      </c>
      <c r="AJ25" s="41">
        <f t="shared" si="2"/>
        <v>0</v>
      </c>
      <c r="AK25" s="41">
        <f t="shared" si="3"/>
        <v>0</v>
      </c>
      <c r="AL25" s="41">
        <f t="shared" si="4"/>
        <v>0</v>
      </c>
      <c r="AM25" s="41">
        <f t="shared" si="5"/>
        <v>0</v>
      </c>
      <c r="AN25" s="41">
        <f t="shared" si="6"/>
        <v>0</v>
      </c>
      <c r="AO25" s="41">
        <f t="shared" si="7"/>
        <v>0</v>
      </c>
      <c r="AP25" s="41">
        <f>COUNTIF(C25:AF25,"A")</f>
        <v>0</v>
      </c>
      <c r="AQ25" s="35" t="e">
        <f>((AG25*2)+((AH25+AI25)*-1)+(AJ25*-1)+(AP25*-3))+(#REF!*-0.5)</f>
        <v>#REF!</v>
      </c>
      <c r="AR25" s="35">
        <f t="shared" si="8"/>
        <v>40</v>
      </c>
      <c r="AS25" s="35" t="e">
        <f t="shared" si="9"/>
        <v>#REF!</v>
      </c>
      <c r="AT25" s="35" t="e">
        <f t="shared" si="10"/>
        <v>#REF!</v>
      </c>
      <c r="AU25" s="36" t="e">
        <f t="shared" si="11"/>
        <v>#REF!</v>
      </c>
    </row>
    <row r="26" spans="1:47" x14ac:dyDescent="0.3">
      <c r="A26" s="42">
        <v>11</v>
      </c>
      <c r="B26" s="44" t="s">
        <v>44</v>
      </c>
      <c r="C26" s="38"/>
      <c r="D26" s="38"/>
      <c r="E26" s="31"/>
      <c r="F26" s="25"/>
      <c r="G26" s="31"/>
      <c r="H26" s="39"/>
      <c r="I26" s="39"/>
      <c r="J26" s="25"/>
      <c r="K26" s="25"/>
      <c r="L26" s="25"/>
      <c r="M26" s="25"/>
      <c r="N26" s="25"/>
      <c r="O26" s="39"/>
      <c r="P26" s="39"/>
      <c r="Q26" s="20"/>
      <c r="R26" s="20"/>
      <c r="S26" s="20"/>
      <c r="T26" s="25"/>
      <c r="U26" s="25"/>
      <c r="V26" s="39"/>
      <c r="W26" s="39"/>
      <c r="X26" s="31"/>
      <c r="Y26" s="25"/>
      <c r="Z26" s="25"/>
      <c r="AA26" s="25"/>
      <c r="AB26" s="25"/>
      <c r="AC26" s="39"/>
      <c r="AD26" s="39"/>
      <c r="AE26" s="20"/>
      <c r="AF26" s="20"/>
      <c r="AG26" s="41">
        <f>(AG$16)-AJ26-AP26</f>
        <v>20</v>
      </c>
      <c r="AH26" s="41">
        <f t="shared" si="0"/>
        <v>0</v>
      </c>
      <c r="AI26" s="41">
        <f t="shared" si="1"/>
        <v>0</v>
      </c>
      <c r="AJ26" s="41">
        <f t="shared" si="2"/>
        <v>0</v>
      </c>
      <c r="AK26" s="41">
        <f t="shared" si="3"/>
        <v>0</v>
      </c>
      <c r="AL26" s="41">
        <f t="shared" si="4"/>
        <v>0</v>
      </c>
      <c r="AM26" s="41">
        <f t="shared" si="5"/>
        <v>0</v>
      </c>
      <c r="AN26" s="41">
        <f t="shared" si="6"/>
        <v>0</v>
      </c>
      <c r="AO26" s="41">
        <f t="shared" si="7"/>
        <v>0</v>
      </c>
      <c r="AP26" s="41">
        <f>COUNTIF(C26:AF26,"A")</f>
        <v>0</v>
      </c>
      <c r="AQ26" s="35" t="e">
        <f>((AG26*2)+((AH26+AI26)*-1)+(AJ26*-1)+(AP26*-3))+(#REF!*-0.5)</f>
        <v>#REF!</v>
      </c>
      <c r="AR26" s="35">
        <f t="shared" si="8"/>
        <v>40</v>
      </c>
      <c r="AS26" s="35" t="e">
        <f t="shared" si="9"/>
        <v>#REF!</v>
      </c>
      <c r="AT26" s="35" t="e">
        <f t="shared" si="10"/>
        <v>#REF!</v>
      </c>
      <c r="AU26" s="36" t="e">
        <f t="shared" si="11"/>
        <v>#REF!</v>
      </c>
    </row>
    <row r="27" spans="1:47" x14ac:dyDescent="0.3">
      <c r="A27" s="42">
        <v>12</v>
      </c>
      <c r="B27" s="44" t="s">
        <v>45</v>
      </c>
      <c r="C27" s="38"/>
      <c r="D27" s="38"/>
      <c r="E27" s="31"/>
      <c r="F27" s="25"/>
      <c r="G27" s="31"/>
      <c r="H27" s="39"/>
      <c r="I27" s="39"/>
      <c r="J27" s="25"/>
      <c r="K27" s="25"/>
      <c r="L27" s="25"/>
      <c r="M27" s="25"/>
      <c r="N27" s="25"/>
      <c r="O27" s="39"/>
      <c r="P27" s="39"/>
      <c r="Q27" s="20"/>
      <c r="R27" s="20"/>
      <c r="S27" s="20"/>
      <c r="T27" s="25"/>
      <c r="U27" s="25"/>
      <c r="V27" s="39"/>
      <c r="W27" s="39"/>
      <c r="X27" s="31"/>
      <c r="Y27" s="25"/>
      <c r="Z27" s="25"/>
      <c r="AA27" s="25"/>
      <c r="AB27" s="25"/>
      <c r="AC27" s="39"/>
      <c r="AD27" s="39"/>
      <c r="AE27" s="20"/>
      <c r="AF27" s="20"/>
      <c r="AG27" s="41">
        <f>(AG$16)-AJ27-AP27</f>
        <v>20</v>
      </c>
      <c r="AH27" s="41">
        <f t="shared" si="0"/>
        <v>0</v>
      </c>
      <c r="AI27" s="41">
        <f t="shared" si="1"/>
        <v>0</v>
      </c>
      <c r="AJ27" s="41">
        <f t="shared" si="2"/>
        <v>0</v>
      </c>
      <c r="AK27" s="41">
        <f t="shared" si="3"/>
        <v>0</v>
      </c>
      <c r="AL27" s="41">
        <f t="shared" si="4"/>
        <v>0</v>
      </c>
      <c r="AM27" s="41">
        <f t="shared" si="5"/>
        <v>0</v>
      </c>
      <c r="AN27" s="41">
        <f t="shared" si="6"/>
        <v>0</v>
      </c>
      <c r="AO27" s="41">
        <f t="shared" si="7"/>
        <v>0</v>
      </c>
      <c r="AP27" s="41">
        <f>COUNTIF(C27:AF27,"A")</f>
        <v>0</v>
      </c>
      <c r="AQ27" s="35" t="e">
        <f>((AG27*2)+((AH27+AI27)*-1)+(AJ27*-1)+(AP27*-3))+(#REF!*-0.5)</f>
        <v>#REF!</v>
      </c>
      <c r="AR27" s="35">
        <f t="shared" si="8"/>
        <v>40</v>
      </c>
      <c r="AS27" s="35" t="e">
        <f t="shared" si="9"/>
        <v>#REF!</v>
      </c>
      <c r="AT27" s="35" t="e">
        <f t="shared" si="10"/>
        <v>#REF!</v>
      </c>
      <c r="AU27" s="36" t="e">
        <f t="shared" si="11"/>
        <v>#REF!</v>
      </c>
    </row>
    <row r="28" spans="1:47" x14ac:dyDescent="0.3">
      <c r="A28" s="42">
        <v>13</v>
      </c>
      <c r="B28" s="44" t="s">
        <v>46</v>
      </c>
      <c r="C28" s="38"/>
      <c r="D28" s="38"/>
      <c r="E28" s="31"/>
      <c r="F28" s="25"/>
      <c r="G28" s="31"/>
      <c r="H28" s="47"/>
      <c r="I28" s="47"/>
      <c r="J28" s="25"/>
      <c r="K28" s="25"/>
      <c r="L28" s="25"/>
      <c r="M28" s="25"/>
      <c r="N28" s="25"/>
      <c r="O28" s="47"/>
      <c r="P28" s="47"/>
      <c r="Q28" s="20"/>
      <c r="R28" s="20"/>
      <c r="S28" s="20"/>
      <c r="T28" s="25"/>
      <c r="U28" s="25"/>
      <c r="V28" s="47"/>
      <c r="W28" s="47"/>
      <c r="X28" s="31"/>
      <c r="Y28" s="25"/>
      <c r="Z28" s="25"/>
      <c r="AA28" s="25"/>
      <c r="AB28" s="25"/>
      <c r="AC28" s="47"/>
      <c r="AD28" s="47"/>
      <c r="AE28" s="20"/>
      <c r="AF28" s="20"/>
      <c r="AG28" s="41">
        <f>(AG$16)-AJ28-AP28</f>
        <v>20</v>
      </c>
      <c r="AH28" s="41">
        <f t="shared" si="0"/>
        <v>0</v>
      </c>
      <c r="AI28" s="41">
        <f t="shared" si="1"/>
        <v>0</v>
      </c>
      <c r="AJ28" s="41">
        <f t="shared" si="2"/>
        <v>0</v>
      </c>
      <c r="AK28" s="41">
        <f t="shared" si="3"/>
        <v>0</v>
      </c>
      <c r="AL28" s="41">
        <f t="shared" si="4"/>
        <v>0</v>
      </c>
      <c r="AM28" s="41">
        <f t="shared" si="5"/>
        <v>0</v>
      </c>
      <c r="AN28" s="41">
        <f t="shared" si="6"/>
        <v>0</v>
      </c>
      <c r="AO28" s="41">
        <f t="shared" si="7"/>
        <v>0</v>
      </c>
      <c r="AP28" s="41">
        <f>COUNTIF(C28:AF28,"A")</f>
        <v>0</v>
      </c>
      <c r="AQ28" s="35" t="e">
        <f>((AG28*2)+((AH28+AI28)*-1)+(AJ28*-1)+(AP28*-3))+(#REF!*-0.5)</f>
        <v>#REF!</v>
      </c>
      <c r="AR28" s="35">
        <f t="shared" si="8"/>
        <v>40</v>
      </c>
      <c r="AS28" s="35" t="e">
        <f t="shared" si="9"/>
        <v>#REF!</v>
      </c>
      <c r="AT28" s="35" t="e">
        <f t="shared" si="10"/>
        <v>#REF!</v>
      </c>
      <c r="AU28" s="36" t="e">
        <f t="shared" si="11"/>
        <v>#REF!</v>
      </c>
    </row>
    <row r="29" spans="1:47" x14ac:dyDescent="0.3">
      <c r="A29" s="42">
        <v>14</v>
      </c>
      <c r="B29" s="44" t="s">
        <v>47</v>
      </c>
      <c r="C29" s="38"/>
      <c r="D29" s="38"/>
      <c r="E29" s="31"/>
      <c r="F29" s="25"/>
      <c r="G29" s="31"/>
      <c r="H29" s="39"/>
      <c r="I29" s="39"/>
      <c r="J29" s="25"/>
      <c r="K29" s="25"/>
      <c r="L29" s="25"/>
      <c r="M29" s="25"/>
      <c r="N29" s="25"/>
      <c r="O29" s="39"/>
      <c r="P29" s="39"/>
      <c r="Q29" s="20"/>
      <c r="R29" s="20"/>
      <c r="S29" s="20"/>
      <c r="T29" s="25"/>
      <c r="U29" s="25"/>
      <c r="V29" s="39"/>
      <c r="W29" s="39"/>
      <c r="X29" s="31"/>
      <c r="Y29" s="25"/>
      <c r="Z29" s="25"/>
      <c r="AA29" s="25"/>
      <c r="AB29" s="25"/>
      <c r="AC29" s="39"/>
      <c r="AD29" s="39"/>
      <c r="AE29" s="20"/>
      <c r="AF29" s="20"/>
      <c r="AG29" s="41">
        <f>(AG$16)-AJ29-AP29</f>
        <v>20</v>
      </c>
      <c r="AH29" s="41">
        <f t="shared" si="0"/>
        <v>0</v>
      </c>
      <c r="AI29" s="41">
        <f t="shared" si="1"/>
        <v>0</v>
      </c>
      <c r="AJ29" s="41">
        <f t="shared" si="2"/>
        <v>0</v>
      </c>
      <c r="AK29" s="41">
        <f t="shared" si="3"/>
        <v>0</v>
      </c>
      <c r="AL29" s="41">
        <f t="shared" si="4"/>
        <v>0</v>
      </c>
      <c r="AM29" s="41">
        <f t="shared" si="5"/>
        <v>0</v>
      </c>
      <c r="AN29" s="41">
        <f t="shared" si="6"/>
        <v>0</v>
      </c>
      <c r="AO29" s="41">
        <f t="shared" si="7"/>
        <v>0</v>
      </c>
      <c r="AP29" s="41">
        <f>COUNTIF(C29:AF29,"A")</f>
        <v>0</v>
      </c>
      <c r="AQ29" s="35" t="e">
        <f>((AG29*2)+((AH29+AI29)*-1)+(AJ29*-1)+(AP29*-3))+(#REF!*-0.5)</f>
        <v>#REF!</v>
      </c>
      <c r="AR29" s="35">
        <f t="shared" si="8"/>
        <v>40</v>
      </c>
      <c r="AS29" s="35" t="e">
        <f t="shared" si="9"/>
        <v>#REF!</v>
      </c>
      <c r="AT29" s="35" t="e">
        <f t="shared" si="10"/>
        <v>#REF!</v>
      </c>
      <c r="AU29" s="36" t="e">
        <f t="shared" si="11"/>
        <v>#REF!</v>
      </c>
    </row>
    <row r="30" spans="1:47" x14ac:dyDescent="0.3">
      <c r="A30" s="42">
        <v>15</v>
      </c>
      <c r="B30" s="44" t="s">
        <v>48</v>
      </c>
      <c r="C30" s="38"/>
      <c r="D30" s="38"/>
      <c r="E30" s="31"/>
      <c r="F30" s="25"/>
      <c r="G30" s="31"/>
      <c r="H30" s="39"/>
      <c r="I30" s="39"/>
      <c r="J30" s="25"/>
      <c r="K30" s="25"/>
      <c r="L30" s="25"/>
      <c r="M30" s="25"/>
      <c r="N30" s="25"/>
      <c r="O30" s="39"/>
      <c r="P30" s="39"/>
      <c r="Q30" s="20"/>
      <c r="R30" s="20"/>
      <c r="S30" s="20"/>
      <c r="T30" s="25"/>
      <c r="U30" s="25"/>
      <c r="V30" s="39"/>
      <c r="W30" s="39"/>
      <c r="X30" s="31"/>
      <c r="Y30" s="25"/>
      <c r="Z30" s="25"/>
      <c r="AA30" s="25"/>
      <c r="AB30" s="25"/>
      <c r="AC30" s="39"/>
      <c r="AD30" s="39"/>
      <c r="AE30" s="20"/>
      <c r="AF30" s="20"/>
      <c r="AG30" s="41">
        <f>(AG$16)-AJ30-AP30</f>
        <v>20</v>
      </c>
      <c r="AH30" s="41">
        <f t="shared" si="0"/>
        <v>0</v>
      </c>
      <c r="AI30" s="41">
        <f t="shared" si="1"/>
        <v>0</v>
      </c>
      <c r="AJ30" s="41">
        <f t="shared" si="2"/>
        <v>0</v>
      </c>
      <c r="AK30" s="41">
        <f t="shared" si="3"/>
        <v>0</v>
      </c>
      <c r="AL30" s="41">
        <f t="shared" si="4"/>
        <v>0</v>
      </c>
      <c r="AM30" s="41">
        <f t="shared" si="5"/>
        <v>0</v>
      </c>
      <c r="AN30" s="41">
        <f t="shared" si="6"/>
        <v>0</v>
      </c>
      <c r="AO30" s="41">
        <f t="shared" si="7"/>
        <v>0</v>
      </c>
      <c r="AP30" s="41">
        <f>COUNTIF(C30:AF30,"A")</f>
        <v>0</v>
      </c>
      <c r="AQ30" s="35" t="e">
        <f>((AG30*2)+((AH30+AI30)*-1)+(AJ30*-1)+(AP30*-3))+(#REF!*-0.5)</f>
        <v>#REF!</v>
      </c>
      <c r="AR30" s="35">
        <f t="shared" si="8"/>
        <v>40</v>
      </c>
      <c r="AS30" s="35" t="e">
        <f t="shared" si="9"/>
        <v>#REF!</v>
      </c>
      <c r="AT30" s="35" t="e">
        <f t="shared" si="10"/>
        <v>#REF!</v>
      </c>
      <c r="AU30" s="36" t="e">
        <f t="shared" si="11"/>
        <v>#REF!</v>
      </c>
    </row>
    <row r="31" spans="1:47" x14ac:dyDescent="0.3">
      <c r="A31" s="42">
        <v>16</v>
      </c>
      <c r="B31" s="44" t="s">
        <v>49</v>
      </c>
      <c r="C31" s="38"/>
      <c r="D31" s="38"/>
      <c r="E31" s="31"/>
      <c r="F31" s="25"/>
      <c r="G31" s="31"/>
      <c r="H31" s="39"/>
      <c r="I31" s="39"/>
      <c r="J31" s="25"/>
      <c r="K31" s="25"/>
      <c r="L31" s="25"/>
      <c r="M31" s="25"/>
      <c r="N31" s="25"/>
      <c r="O31" s="39"/>
      <c r="P31" s="39"/>
      <c r="Q31" s="20"/>
      <c r="R31" s="20"/>
      <c r="S31" s="20"/>
      <c r="T31" s="25"/>
      <c r="U31" s="25"/>
      <c r="V31" s="39"/>
      <c r="W31" s="39"/>
      <c r="X31" s="31"/>
      <c r="Y31" s="25"/>
      <c r="Z31" s="25"/>
      <c r="AA31" s="25"/>
      <c r="AB31" s="25"/>
      <c r="AC31" s="39"/>
      <c r="AD31" s="39"/>
      <c r="AE31" s="20"/>
      <c r="AF31" s="20"/>
      <c r="AG31" s="41">
        <f>(AG$16)-AJ31-AP31</f>
        <v>20</v>
      </c>
      <c r="AH31" s="41">
        <f t="shared" si="0"/>
        <v>0</v>
      </c>
      <c r="AI31" s="41">
        <f t="shared" si="1"/>
        <v>0</v>
      </c>
      <c r="AJ31" s="41">
        <f t="shared" si="2"/>
        <v>0</v>
      </c>
      <c r="AK31" s="41">
        <f t="shared" si="3"/>
        <v>0</v>
      </c>
      <c r="AL31" s="41">
        <f t="shared" si="4"/>
        <v>0</v>
      </c>
      <c r="AM31" s="41">
        <f t="shared" si="5"/>
        <v>0</v>
      </c>
      <c r="AN31" s="41">
        <f t="shared" si="6"/>
        <v>0</v>
      </c>
      <c r="AO31" s="41">
        <f t="shared" si="7"/>
        <v>0</v>
      </c>
      <c r="AP31" s="41">
        <f>COUNTIF(C31:AF31,"A")</f>
        <v>0</v>
      </c>
      <c r="AQ31" s="35" t="e">
        <f>((AG31*2)+((AH31+AI31)*-1)+(AJ31*-1)+(AP31*-3))+(#REF!*-0.5)</f>
        <v>#REF!</v>
      </c>
      <c r="AR31" s="35">
        <f t="shared" si="8"/>
        <v>40</v>
      </c>
      <c r="AS31" s="35" t="e">
        <f t="shared" si="9"/>
        <v>#REF!</v>
      </c>
      <c r="AT31" s="35" t="e">
        <f t="shared" si="10"/>
        <v>#REF!</v>
      </c>
      <c r="AU31" s="36" t="e">
        <f t="shared" si="11"/>
        <v>#REF!</v>
      </c>
    </row>
    <row r="32" spans="1:47" x14ac:dyDescent="0.3">
      <c r="A32" s="42">
        <v>17</v>
      </c>
      <c r="B32" s="44" t="s">
        <v>50</v>
      </c>
      <c r="C32" s="31"/>
      <c r="D32" s="38"/>
      <c r="E32" s="31"/>
      <c r="F32" s="25"/>
      <c r="G32" s="31"/>
      <c r="H32" s="39"/>
      <c r="I32" s="39"/>
      <c r="J32" s="25"/>
      <c r="K32" s="25"/>
      <c r="L32" s="25"/>
      <c r="M32" s="25"/>
      <c r="N32" s="25"/>
      <c r="O32" s="39"/>
      <c r="P32" s="39"/>
      <c r="Q32" s="20"/>
      <c r="R32" s="20"/>
      <c r="S32" s="20"/>
      <c r="T32" s="25"/>
      <c r="U32" s="25"/>
      <c r="V32" s="39"/>
      <c r="W32" s="39"/>
      <c r="X32" s="31"/>
      <c r="Y32" s="25"/>
      <c r="Z32" s="25"/>
      <c r="AA32" s="25"/>
      <c r="AB32" s="25"/>
      <c r="AC32" s="39"/>
      <c r="AD32" s="39"/>
      <c r="AE32" s="20"/>
      <c r="AF32" s="20"/>
      <c r="AG32" s="41">
        <f>(AG$16)-AJ32-AP32</f>
        <v>20</v>
      </c>
      <c r="AH32" s="41">
        <f t="shared" si="0"/>
        <v>0</v>
      </c>
      <c r="AI32" s="41">
        <f t="shared" si="1"/>
        <v>0</v>
      </c>
      <c r="AJ32" s="41">
        <f t="shared" si="2"/>
        <v>0</v>
      </c>
      <c r="AK32" s="41">
        <f t="shared" si="3"/>
        <v>0</v>
      </c>
      <c r="AL32" s="41">
        <f t="shared" si="4"/>
        <v>0</v>
      </c>
      <c r="AM32" s="41">
        <f t="shared" si="5"/>
        <v>0</v>
      </c>
      <c r="AN32" s="41">
        <f t="shared" si="6"/>
        <v>0</v>
      </c>
      <c r="AO32" s="41">
        <f t="shared" si="7"/>
        <v>0</v>
      </c>
      <c r="AP32" s="41">
        <f>COUNTIF(C32:AF32,"A")</f>
        <v>0</v>
      </c>
      <c r="AQ32" s="35" t="e">
        <f>((AG32*2)+((AH32+AI32)*-1)+(AJ32*-1)+(AP32*-3))+(#REF!*-0.5)</f>
        <v>#REF!</v>
      </c>
      <c r="AR32" s="35">
        <f t="shared" si="8"/>
        <v>40</v>
      </c>
      <c r="AS32" s="35" t="e">
        <f t="shared" si="9"/>
        <v>#REF!</v>
      </c>
      <c r="AT32" s="35" t="e">
        <f t="shared" si="10"/>
        <v>#REF!</v>
      </c>
      <c r="AU32" s="36" t="e">
        <f t="shared" si="11"/>
        <v>#REF!</v>
      </c>
    </row>
    <row r="33" spans="1:47" x14ac:dyDescent="0.3">
      <c r="A33" s="42">
        <v>18</v>
      </c>
      <c r="B33" s="44" t="s">
        <v>51</v>
      </c>
      <c r="C33" s="31"/>
      <c r="D33" s="38"/>
      <c r="E33" s="31"/>
      <c r="F33" s="25"/>
      <c r="G33" s="31"/>
      <c r="H33" s="39"/>
      <c r="I33" s="39"/>
      <c r="J33" s="25"/>
      <c r="K33" s="25"/>
      <c r="L33" s="25"/>
      <c r="M33" s="25"/>
      <c r="N33" s="25"/>
      <c r="O33" s="39"/>
      <c r="P33" s="39"/>
      <c r="Q33" s="20"/>
      <c r="R33" s="20"/>
      <c r="S33" s="20"/>
      <c r="T33" s="25"/>
      <c r="U33" s="25"/>
      <c r="V33" s="39"/>
      <c r="W33" s="39"/>
      <c r="X33" s="31"/>
      <c r="Y33" s="25"/>
      <c r="Z33" s="25"/>
      <c r="AA33" s="25"/>
      <c r="AB33" s="25"/>
      <c r="AC33" s="39"/>
      <c r="AD33" s="39"/>
      <c r="AE33" s="20"/>
      <c r="AF33" s="20"/>
      <c r="AG33" s="41">
        <f>(AG$16)-AJ33-AP33</f>
        <v>20</v>
      </c>
      <c r="AH33" s="41">
        <f t="shared" si="0"/>
        <v>0</v>
      </c>
      <c r="AI33" s="41">
        <f t="shared" si="1"/>
        <v>0</v>
      </c>
      <c r="AJ33" s="41">
        <f t="shared" si="2"/>
        <v>0</v>
      </c>
      <c r="AK33" s="41">
        <f t="shared" si="3"/>
        <v>0</v>
      </c>
      <c r="AL33" s="41">
        <f t="shared" si="4"/>
        <v>0</v>
      </c>
      <c r="AM33" s="41">
        <f t="shared" si="5"/>
        <v>0</v>
      </c>
      <c r="AN33" s="41">
        <f t="shared" si="6"/>
        <v>0</v>
      </c>
      <c r="AO33" s="41">
        <f t="shared" si="7"/>
        <v>0</v>
      </c>
      <c r="AP33" s="41">
        <f>COUNTIF(C33:AF33,"A")</f>
        <v>0</v>
      </c>
      <c r="AQ33" s="35" t="e">
        <f>((AG33*2)+((AH33+AI33)*-1)+(AJ33*-1)+(AP33*-3))+(#REF!*-0.5)</f>
        <v>#REF!</v>
      </c>
      <c r="AR33" s="35">
        <f t="shared" si="8"/>
        <v>40</v>
      </c>
      <c r="AS33" s="35" t="e">
        <f t="shared" si="9"/>
        <v>#REF!</v>
      </c>
      <c r="AT33" s="35" t="e">
        <f t="shared" si="10"/>
        <v>#REF!</v>
      </c>
      <c r="AU33" s="36" t="e">
        <f t="shared" si="11"/>
        <v>#REF!</v>
      </c>
    </row>
    <row r="34" spans="1:47" x14ac:dyDescent="0.3">
      <c r="A34" s="42">
        <v>19</v>
      </c>
      <c r="B34" s="44" t="s">
        <v>52</v>
      </c>
      <c r="C34" s="31"/>
      <c r="D34" s="38"/>
      <c r="E34" s="31"/>
      <c r="F34" s="25"/>
      <c r="G34" s="31"/>
      <c r="H34" s="39"/>
      <c r="I34" s="39"/>
      <c r="J34" s="25"/>
      <c r="K34" s="25"/>
      <c r="L34" s="25"/>
      <c r="M34" s="25"/>
      <c r="N34" s="25"/>
      <c r="O34" s="39"/>
      <c r="P34" s="39"/>
      <c r="Q34" s="20"/>
      <c r="R34" s="20"/>
      <c r="S34" s="20"/>
      <c r="T34" s="25"/>
      <c r="U34" s="25"/>
      <c r="V34" s="39"/>
      <c r="W34" s="39"/>
      <c r="X34" s="31"/>
      <c r="Y34" s="25"/>
      <c r="Z34" s="25"/>
      <c r="AA34" s="25"/>
      <c r="AB34" s="25"/>
      <c r="AC34" s="39"/>
      <c r="AD34" s="39"/>
      <c r="AE34" s="20"/>
      <c r="AF34" s="20"/>
      <c r="AG34" s="41">
        <f>(AG$16)-AJ34-AP34</f>
        <v>20</v>
      </c>
      <c r="AH34" s="41">
        <f t="shared" si="0"/>
        <v>0</v>
      </c>
      <c r="AI34" s="41">
        <f t="shared" si="1"/>
        <v>0</v>
      </c>
      <c r="AJ34" s="41">
        <f t="shared" si="2"/>
        <v>0</v>
      </c>
      <c r="AK34" s="41">
        <f t="shared" si="3"/>
        <v>0</v>
      </c>
      <c r="AL34" s="41">
        <f t="shared" si="4"/>
        <v>0</v>
      </c>
      <c r="AM34" s="41">
        <f t="shared" si="5"/>
        <v>0</v>
      </c>
      <c r="AN34" s="41">
        <f t="shared" si="6"/>
        <v>0</v>
      </c>
      <c r="AO34" s="41">
        <f t="shared" si="7"/>
        <v>0</v>
      </c>
      <c r="AP34" s="41">
        <f>COUNTIF(C34:AF34,"A")</f>
        <v>0</v>
      </c>
      <c r="AQ34" s="35" t="e">
        <f>((AG34*2)+((AH34+AI34)*-1)+(AJ34*-1)+(AP34*-3))+(#REF!*-0.5)</f>
        <v>#REF!</v>
      </c>
      <c r="AR34" s="35">
        <f t="shared" si="8"/>
        <v>40</v>
      </c>
      <c r="AS34" s="35" t="e">
        <f t="shared" si="9"/>
        <v>#REF!</v>
      </c>
      <c r="AT34" s="35" t="e">
        <f t="shared" si="10"/>
        <v>#REF!</v>
      </c>
      <c r="AU34" s="36" t="e">
        <f t="shared" si="11"/>
        <v>#REF!</v>
      </c>
    </row>
    <row r="35" spans="1:47" x14ac:dyDescent="0.3">
      <c r="A35" s="42">
        <v>20</v>
      </c>
      <c r="B35" s="44" t="s">
        <v>53</v>
      </c>
      <c r="C35" s="31"/>
      <c r="D35" s="38"/>
      <c r="E35" s="31"/>
      <c r="F35" s="25"/>
      <c r="G35" s="31"/>
      <c r="H35" s="39"/>
      <c r="I35" s="39"/>
      <c r="J35" s="25"/>
      <c r="K35" s="25"/>
      <c r="L35" s="25"/>
      <c r="M35" s="25"/>
      <c r="N35" s="25"/>
      <c r="O35" s="39"/>
      <c r="P35" s="39"/>
      <c r="Q35" s="20"/>
      <c r="R35" s="20"/>
      <c r="S35" s="20"/>
      <c r="T35" s="25"/>
      <c r="U35" s="25"/>
      <c r="V35" s="39"/>
      <c r="W35" s="39"/>
      <c r="X35" s="31"/>
      <c r="Y35" s="25"/>
      <c r="Z35" s="25"/>
      <c r="AA35" s="25"/>
      <c r="AB35" s="25"/>
      <c r="AC35" s="39"/>
      <c r="AD35" s="39"/>
      <c r="AE35" s="20"/>
      <c r="AF35" s="20"/>
      <c r="AG35" s="41">
        <f>(AG$16)-AJ35-AP35</f>
        <v>20</v>
      </c>
      <c r="AH35" s="41">
        <f t="shared" si="0"/>
        <v>0</v>
      </c>
      <c r="AI35" s="41">
        <f t="shared" si="1"/>
        <v>0</v>
      </c>
      <c r="AJ35" s="41">
        <f t="shared" si="2"/>
        <v>0</v>
      </c>
      <c r="AK35" s="41">
        <f t="shared" si="3"/>
        <v>0</v>
      </c>
      <c r="AL35" s="41">
        <f t="shared" si="4"/>
        <v>0</v>
      </c>
      <c r="AM35" s="41">
        <f t="shared" si="5"/>
        <v>0</v>
      </c>
      <c r="AN35" s="41">
        <f t="shared" si="6"/>
        <v>0</v>
      </c>
      <c r="AO35" s="41">
        <f t="shared" si="7"/>
        <v>0</v>
      </c>
      <c r="AP35" s="41">
        <f>COUNTIF(C35:AF35,"A")</f>
        <v>0</v>
      </c>
      <c r="AQ35" s="35" t="e">
        <f>((AG35*2)+((AH35+AI35)*-1)+(AJ35*-1)+(AP35*-3))+(#REF!*-0.5)</f>
        <v>#REF!</v>
      </c>
      <c r="AR35" s="35">
        <f t="shared" si="8"/>
        <v>40</v>
      </c>
      <c r="AS35" s="35" t="e">
        <f t="shared" si="9"/>
        <v>#REF!</v>
      </c>
      <c r="AT35" s="35" t="e">
        <f t="shared" si="10"/>
        <v>#REF!</v>
      </c>
      <c r="AU35" s="36" t="e">
        <f t="shared" si="11"/>
        <v>#REF!</v>
      </c>
    </row>
    <row r="36" spans="1:47" x14ac:dyDescent="0.3">
      <c r="A36" s="42">
        <v>21</v>
      </c>
      <c r="B36" s="44" t="s">
        <v>54</v>
      </c>
      <c r="C36" s="31"/>
      <c r="D36" s="38"/>
      <c r="E36" s="31"/>
      <c r="F36" s="25"/>
      <c r="G36" s="31"/>
      <c r="H36" s="39"/>
      <c r="I36" s="39"/>
      <c r="J36" s="25"/>
      <c r="K36" s="25"/>
      <c r="L36" s="25"/>
      <c r="M36" s="25"/>
      <c r="N36" s="25"/>
      <c r="O36" s="39"/>
      <c r="P36" s="39"/>
      <c r="Q36" s="20"/>
      <c r="R36" s="20"/>
      <c r="S36" s="20"/>
      <c r="T36" s="25"/>
      <c r="U36" s="25"/>
      <c r="V36" s="39"/>
      <c r="W36" s="39"/>
      <c r="X36" s="31"/>
      <c r="Y36" s="25"/>
      <c r="Z36" s="25"/>
      <c r="AA36" s="25"/>
      <c r="AB36" s="25"/>
      <c r="AC36" s="39"/>
      <c r="AD36" s="39"/>
      <c r="AE36" s="20"/>
      <c r="AF36" s="20"/>
      <c r="AG36" s="41">
        <f>(AG$16)-AJ36-AP36</f>
        <v>20</v>
      </c>
      <c r="AH36" s="41">
        <f t="shared" si="0"/>
        <v>0</v>
      </c>
      <c r="AI36" s="41">
        <f t="shared" si="1"/>
        <v>0</v>
      </c>
      <c r="AJ36" s="41">
        <f t="shared" si="2"/>
        <v>0</v>
      </c>
      <c r="AK36" s="41">
        <f t="shared" si="3"/>
        <v>0</v>
      </c>
      <c r="AL36" s="41">
        <f t="shared" si="4"/>
        <v>0</v>
      </c>
      <c r="AM36" s="41">
        <f t="shared" si="5"/>
        <v>0</v>
      </c>
      <c r="AN36" s="41">
        <f t="shared" si="6"/>
        <v>0</v>
      </c>
      <c r="AO36" s="41">
        <f t="shared" si="7"/>
        <v>0</v>
      </c>
      <c r="AP36" s="41">
        <f>COUNTIF(C36:AF36,"A")</f>
        <v>0</v>
      </c>
      <c r="AQ36" s="35" t="e">
        <f>((AG36*2)+((AH36+AI36)*-1)+(AJ36*-1)+(AP36*-3))+(#REF!*-0.5)</f>
        <v>#REF!</v>
      </c>
      <c r="AR36" s="35">
        <f t="shared" si="8"/>
        <v>40</v>
      </c>
      <c r="AS36" s="35" t="e">
        <f t="shared" si="9"/>
        <v>#REF!</v>
      </c>
      <c r="AT36" s="35" t="e">
        <f t="shared" si="10"/>
        <v>#REF!</v>
      </c>
      <c r="AU36" s="36" t="e">
        <f t="shared" si="11"/>
        <v>#REF!</v>
      </c>
    </row>
    <row r="37" spans="1:47" x14ac:dyDescent="0.3">
      <c r="A37" s="42">
        <v>22</v>
      </c>
      <c r="B37" s="44" t="s">
        <v>55</v>
      </c>
      <c r="C37" s="31"/>
      <c r="D37" s="38"/>
      <c r="E37" s="31"/>
      <c r="F37" s="25"/>
      <c r="G37" s="31"/>
      <c r="H37" s="39"/>
      <c r="I37" s="39"/>
      <c r="J37" s="25"/>
      <c r="K37" s="25"/>
      <c r="L37" s="25"/>
      <c r="M37" s="25"/>
      <c r="N37" s="25"/>
      <c r="O37" s="39"/>
      <c r="P37" s="39"/>
      <c r="Q37" s="20"/>
      <c r="R37" s="20"/>
      <c r="S37" s="20"/>
      <c r="T37" s="25"/>
      <c r="U37" s="25"/>
      <c r="V37" s="39"/>
      <c r="W37" s="39"/>
      <c r="X37" s="31"/>
      <c r="Y37" s="25"/>
      <c r="Z37" s="25"/>
      <c r="AA37" s="25"/>
      <c r="AB37" s="25"/>
      <c r="AC37" s="39"/>
      <c r="AD37" s="39"/>
      <c r="AE37" s="20"/>
      <c r="AF37" s="20"/>
      <c r="AG37" s="41">
        <f>(AG$16)-AJ37-AP37</f>
        <v>20</v>
      </c>
      <c r="AH37" s="41">
        <f t="shared" si="0"/>
        <v>0</v>
      </c>
      <c r="AI37" s="41">
        <f t="shared" si="1"/>
        <v>0</v>
      </c>
      <c r="AJ37" s="41">
        <f t="shared" si="2"/>
        <v>0</v>
      </c>
      <c r="AK37" s="41">
        <f t="shared" si="3"/>
        <v>0</v>
      </c>
      <c r="AL37" s="41">
        <f t="shared" si="4"/>
        <v>0</v>
      </c>
      <c r="AM37" s="41">
        <f t="shared" si="5"/>
        <v>0</v>
      </c>
      <c r="AN37" s="41">
        <f t="shared" si="6"/>
        <v>0</v>
      </c>
      <c r="AO37" s="41">
        <f t="shared" si="7"/>
        <v>0</v>
      </c>
      <c r="AP37" s="41">
        <f>COUNTIF(C37:AF37,"A")</f>
        <v>0</v>
      </c>
      <c r="AQ37" s="35" t="e">
        <f>((AG37*2)+((AH37+AI37)*-1)+(AJ37*-1)+(AP37*-3))+(#REF!*-0.5)</f>
        <v>#REF!</v>
      </c>
      <c r="AR37" s="35">
        <f t="shared" si="8"/>
        <v>40</v>
      </c>
      <c r="AS37" s="35" t="e">
        <f t="shared" si="9"/>
        <v>#REF!</v>
      </c>
      <c r="AT37" s="35" t="e">
        <f t="shared" si="10"/>
        <v>#REF!</v>
      </c>
      <c r="AU37" s="36" t="e">
        <f t="shared" si="11"/>
        <v>#REF!</v>
      </c>
    </row>
    <row r="38" spans="1:47" x14ac:dyDescent="0.3">
      <c r="A38" s="42">
        <v>23</v>
      </c>
      <c r="B38" s="44" t="s">
        <v>56</v>
      </c>
      <c r="C38" s="31"/>
      <c r="D38" s="38"/>
      <c r="E38" s="31"/>
      <c r="F38" s="25"/>
      <c r="G38" s="31"/>
      <c r="H38" s="39"/>
      <c r="I38" s="39"/>
      <c r="J38" s="25"/>
      <c r="K38" s="25"/>
      <c r="L38" s="25"/>
      <c r="M38" s="25"/>
      <c r="N38" s="25"/>
      <c r="O38" s="39"/>
      <c r="P38" s="39"/>
      <c r="Q38" s="20"/>
      <c r="R38" s="20"/>
      <c r="S38" s="20"/>
      <c r="T38" s="25"/>
      <c r="U38" s="25"/>
      <c r="V38" s="39"/>
      <c r="W38" s="39"/>
      <c r="X38" s="31"/>
      <c r="Y38" s="25"/>
      <c r="Z38" s="25"/>
      <c r="AA38" s="25"/>
      <c r="AB38" s="25"/>
      <c r="AC38" s="39"/>
      <c r="AD38" s="39"/>
      <c r="AE38" s="20"/>
      <c r="AF38" s="20"/>
      <c r="AG38" s="41">
        <f>(AG$16)-AJ38-AP38</f>
        <v>20</v>
      </c>
      <c r="AH38" s="41">
        <f t="shared" si="0"/>
        <v>0</v>
      </c>
      <c r="AI38" s="41">
        <f t="shared" si="1"/>
        <v>0</v>
      </c>
      <c r="AJ38" s="41">
        <f t="shared" si="2"/>
        <v>0</v>
      </c>
      <c r="AK38" s="41">
        <f t="shared" si="3"/>
        <v>0</v>
      </c>
      <c r="AL38" s="41">
        <f t="shared" si="4"/>
        <v>0</v>
      </c>
      <c r="AM38" s="41">
        <f t="shared" si="5"/>
        <v>0</v>
      </c>
      <c r="AN38" s="41">
        <f t="shared" si="6"/>
        <v>0</v>
      </c>
      <c r="AO38" s="41">
        <f t="shared" si="7"/>
        <v>0</v>
      </c>
      <c r="AP38" s="41">
        <f>COUNTIF(C38:AF38,"A")</f>
        <v>0</v>
      </c>
      <c r="AQ38" s="35" t="e">
        <f>((AG38*2)+((AH38+AI38)*-1)+(AJ38*-1)+(AP38*-3))+(#REF!*-0.5)</f>
        <v>#REF!</v>
      </c>
      <c r="AR38" s="35">
        <f t="shared" si="8"/>
        <v>40</v>
      </c>
      <c r="AS38" s="35" t="e">
        <f t="shared" si="9"/>
        <v>#REF!</v>
      </c>
      <c r="AT38" s="35" t="e">
        <f t="shared" si="10"/>
        <v>#REF!</v>
      </c>
      <c r="AU38" s="36" t="e">
        <f t="shared" si="11"/>
        <v>#REF!</v>
      </c>
    </row>
    <row r="39" spans="1:47" x14ac:dyDescent="0.3">
      <c r="A39" s="42">
        <v>24</v>
      </c>
      <c r="B39" s="49" t="s">
        <v>57</v>
      </c>
      <c r="C39" s="48"/>
      <c r="D39" s="38"/>
      <c r="E39" s="31"/>
      <c r="F39" s="25"/>
      <c r="G39" s="31"/>
      <c r="H39" s="50"/>
      <c r="I39" s="50"/>
      <c r="J39" s="25"/>
      <c r="K39" s="25"/>
      <c r="L39" s="25"/>
      <c r="M39" s="25"/>
      <c r="N39" s="25"/>
      <c r="O39" s="50"/>
      <c r="P39" s="50"/>
      <c r="Q39" s="20"/>
      <c r="R39" s="20"/>
      <c r="S39" s="20"/>
      <c r="T39" s="25"/>
      <c r="U39" s="25"/>
      <c r="V39" s="50"/>
      <c r="W39" s="50"/>
      <c r="X39" s="31"/>
      <c r="Y39" s="25"/>
      <c r="Z39" s="25"/>
      <c r="AA39" s="25"/>
      <c r="AB39" s="25"/>
      <c r="AC39" s="50"/>
      <c r="AD39" s="50"/>
      <c r="AE39" s="20"/>
      <c r="AF39" s="20"/>
      <c r="AG39" s="41">
        <f>(AG$16)-AJ39-AP39</f>
        <v>20</v>
      </c>
      <c r="AH39" s="41">
        <f t="shared" si="0"/>
        <v>0</v>
      </c>
      <c r="AI39" s="41">
        <f t="shared" si="1"/>
        <v>0</v>
      </c>
      <c r="AJ39" s="41">
        <f t="shared" si="2"/>
        <v>0</v>
      </c>
      <c r="AK39" s="41">
        <f t="shared" si="3"/>
        <v>0</v>
      </c>
      <c r="AL39" s="41">
        <f t="shared" si="4"/>
        <v>0</v>
      </c>
      <c r="AM39" s="41">
        <f t="shared" si="5"/>
        <v>0</v>
      </c>
      <c r="AN39" s="41">
        <f t="shared" si="6"/>
        <v>0</v>
      </c>
      <c r="AO39" s="41">
        <f t="shared" si="7"/>
        <v>0</v>
      </c>
      <c r="AP39" s="41">
        <f>COUNTIF(C39:AF39,"A")</f>
        <v>0</v>
      </c>
      <c r="AQ39" s="35" t="e">
        <f>((AG39*2)+((AH39+AI39)*-1)+(AJ39*-1)+(AP39*-3))+(#REF!*-0.5)</f>
        <v>#REF!</v>
      </c>
      <c r="AR39" s="35">
        <f t="shared" si="8"/>
        <v>40</v>
      </c>
      <c r="AS39" s="35" t="e">
        <f t="shared" si="9"/>
        <v>#REF!</v>
      </c>
      <c r="AT39" s="35" t="e">
        <f t="shared" si="10"/>
        <v>#REF!</v>
      </c>
      <c r="AU39" s="36" t="e">
        <f t="shared" si="11"/>
        <v>#REF!</v>
      </c>
    </row>
    <row r="40" spans="1:47" x14ac:dyDescent="0.3">
      <c r="A40" s="42">
        <v>25</v>
      </c>
      <c r="B40" s="49" t="s">
        <v>58</v>
      </c>
      <c r="C40" s="48"/>
      <c r="D40" s="38"/>
      <c r="E40" s="31"/>
      <c r="F40" s="25"/>
      <c r="G40" s="31"/>
      <c r="H40" s="50"/>
      <c r="I40" s="50"/>
      <c r="J40" s="25"/>
      <c r="K40" s="25"/>
      <c r="L40" s="25"/>
      <c r="M40" s="25"/>
      <c r="N40" s="25"/>
      <c r="O40" s="50"/>
      <c r="P40" s="50"/>
      <c r="Q40" s="20"/>
      <c r="R40" s="20"/>
      <c r="S40" s="20"/>
      <c r="T40" s="25"/>
      <c r="U40" s="25"/>
      <c r="V40" s="50"/>
      <c r="W40" s="50"/>
      <c r="X40" s="31"/>
      <c r="Y40" s="25"/>
      <c r="Z40" s="25"/>
      <c r="AA40" s="25"/>
      <c r="AB40" s="25"/>
      <c r="AC40" s="50"/>
      <c r="AD40" s="50"/>
      <c r="AE40" s="20"/>
      <c r="AF40" s="20"/>
      <c r="AG40" s="41">
        <f>(AG$16)-AJ40-AP40</f>
        <v>20</v>
      </c>
      <c r="AH40" s="51">
        <f>COUNTIF(C40:AF40,"HIP")+1</f>
        <v>1</v>
      </c>
      <c r="AI40" s="41">
        <f t="shared" si="1"/>
        <v>0</v>
      </c>
      <c r="AJ40" s="41">
        <f t="shared" si="2"/>
        <v>0</v>
      </c>
      <c r="AK40" s="41">
        <f t="shared" si="3"/>
        <v>0</v>
      </c>
      <c r="AL40" s="41">
        <f t="shared" si="4"/>
        <v>0</v>
      </c>
      <c r="AM40" s="41">
        <f t="shared" si="5"/>
        <v>0</v>
      </c>
      <c r="AN40" s="41">
        <f t="shared" si="6"/>
        <v>0</v>
      </c>
      <c r="AO40" s="41">
        <f t="shared" si="7"/>
        <v>0</v>
      </c>
      <c r="AP40" s="41">
        <f>COUNTIF(C40:AF40,"A")</f>
        <v>0</v>
      </c>
      <c r="AQ40" s="35" t="e">
        <f>((AG40*2)+((AH40+AI40)*-1)+(AJ40*-1)+(AP40*-3))+(#REF!*-0.5)</f>
        <v>#REF!</v>
      </c>
      <c r="AR40" s="35">
        <f t="shared" si="8"/>
        <v>40</v>
      </c>
      <c r="AS40" s="35" t="e">
        <f t="shared" si="9"/>
        <v>#REF!</v>
      </c>
      <c r="AT40" s="35" t="e">
        <f t="shared" si="10"/>
        <v>#REF!</v>
      </c>
      <c r="AU40" s="36" t="e">
        <f t="shared" si="11"/>
        <v>#REF!</v>
      </c>
    </row>
    <row r="41" spans="1:47" x14ac:dyDescent="0.3">
      <c r="A41" s="42">
        <v>26</v>
      </c>
      <c r="B41" s="44" t="s">
        <v>59</v>
      </c>
      <c r="C41" s="48"/>
      <c r="D41" s="38"/>
      <c r="E41" s="31"/>
      <c r="F41" s="25"/>
      <c r="G41" s="31"/>
      <c r="H41" s="50"/>
      <c r="I41" s="50"/>
      <c r="J41" s="25"/>
      <c r="K41" s="25"/>
      <c r="L41" s="25"/>
      <c r="M41" s="25"/>
      <c r="N41" s="25"/>
      <c r="O41" s="50"/>
      <c r="P41" s="50"/>
      <c r="Q41" s="20"/>
      <c r="R41" s="20"/>
      <c r="S41" s="20"/>
      <c r="T41" s="25"/>
      <c r="U41" s="25"/>
      <c r="V41" s="50"/>
      <c r="W41" s="50"/>
      <c r="X41" s="31"/>
      <c r="Y41" s="25"/>
      <c r="Z41" s="25"/>
      <c r="AA41" s="25"/>
      <c r="AB41" s="25"/>
      <c r="AC41" s="50"/>
      <c r="AD41" s="50"/>
      <c r="AE41" s="20"/>
      <c r="AF41" s="20"/>
      <c r="AG41" s="41">
        <f>(AG$16)-AJ41-AP41</f>
        <v>20</v>
      </c>
      <c r="AH41" s="41">
        <f>COUNTIF(C41:AF41,"HIP")</f>
        <v>0</v>
      </c>
      <c r="AI41" s="41">
        <f t="shared" si="1"/>
        <v>0</v>
      </c>
      <c r="AJ41" s="41">
        <f t="shared" si="2"/>
        <v>0</v>
      </c>
      <c r="AK41" s="41">
        <f t="shared" si="3"/>
        <v>0</v>
      </c>
      <c r="AL41" s="41">
        <f t="shared" si="4"/>
        <v>0</v>
      </c>
      <c r="AM41" s="41">
        <f t="shared" si="5"/>
        <v>0</v>
      </c>
      <c r="AN41" s="41">
        <f t="shared" si="6"/>
        <v>0</v>
      </c>
      <c r="AO41" s="41">
        <f t="shared" si="7"/>
        <v>0</v>
      </c>
      <c r="AP41" s="41">
        <f>COUNTIF(C41:AF41,"A")</f>
        <v>0</v>
      </c>
      <c r="AQ41" s="35" t="e">
        <f>((AG41*2)+((AH41+AI41)*-1)+(AJ41*-1)+(AP41*-3))+(#REF!*-0.5)</f>
        <v>#REF!</v>
      </c>
      <c r="AR41" s="35">
        <f t="shared" si="8"/>
        <v>40</v>
      </c>
      <c r="AS41" s="35" t="e">
        <f t="shared" si="9"/>
        <v>#REF!</v>
      </c>
      <c r="AT41" s="35" t="e">
        <f t="shared" si="10"/>
        <v>#REF!</v>
      </c>
      <c r="AU41" s="36" t="e">
        <f t="shared" si="11"/>
        <v>#REF!</v>
      </c>
    </row>
    <row r="42" spans="1:47" x14ac:dyDescent="0.3">
      <c r="A42" s="42">
        <v>27</v>
      </c>
      <c r="B42" s="44" t="s">
        <v>60</v>
      </c>
      <c r="C42" s="48"/>
      <c r="D42" s="38"/>
      <c r="E42" s="31"/>
      <c r="F42" s="25"/>
      <c r="G42" s="31"/>
      <c r="H42" s="50"/>
      <c r="I42" s="50"/>
      <c r="J42" s="25"/>
      <c r="K42" s="25"/>
      <c r="L42" s="25"/>
      <c r="M42" s="25"/>
      <c r="N42" s="25"/>
      <c r="O42" s="39"/>
      <c r="P42" s="50"/>
      <c r="Q42" s="20"/>
      <c r="R42" s="20"/>
      <c r="S42" s="20"/>
      <c r="T42" s="25"/>
      <c r="U42" s="25"/>
      <c r="V42" s="50"/>
      <c r="W42" s="50"/>
      <c r="X42" s="31"/>
      <c r="Y42" s="25"/>
      <c r="Z42" s="25"/>
      <c r="AA42" s="25"/>
      <c r="AB42" s="25"/>
      <c r="AC42" s="50"/>
      <c r="AD42" s="50"/>
      <c r="AE42" s="20"/>
      <c r="AF42" s="20"/>
      <c r="AG42" s="41">
        <f>(AG$16)-AJ42-AP42</f>
        <v>20</v>
      </c>
      <c r="AH42" s="51">
        <f>COUNTIF(C42:AF42,"HIP")+1</f>
        <v>1</v>
      </c>
      <c r="AI42" s="41">
        <f t="shared" si="1"/>
        <v>0</v>
      </c>
      <c r="AJ42" s="41">
        <f t="shared" si="2"/>
        <v>0</v>
      </c>
      <c r="AK42" s="41">
        <f t="shared" si="3"/>
        <v>0</v>
      </c>
      <c r="AL42" s="41">
        <f t="shared" si="4"/>
        <v>0</v>
      </c>
      <c r="AM42" s="41">
        <f t="shared" si="5"/>
        <v>0</v>
      </c>
      <c r="AN42" s="41">
        <f t="shared" si="6"/>
        <v>0</v>
      </c>
      <c r="AO42" s="41">
        <f t="shared" si="7"/>
        <v>0</v>
      </c>
      <c r="AP42" s="41">
        <f>COUNTIF(C42:AF42,"A")</f>
        <v>0</v>
      </c>
      <c r="AQ42" s="35" t="e">
        <f>((AG42*2)+((AH42+AI42)*-1)+(AJ42*-1)+(AP42*-3))+(#REF!*-0.5)</f>
        <v>#REF!</v>
      </c>
      <c r="AR42" s="35">
        <f t="shared" si="8"/>
        <v>40</v>
      </c>
      <c r="AS42" s="35" t="e">
        <f t="shared" si="9"/>
        <v>#REF!</v>
      </c>
      <c r="AT42" s="35" t="e">
        <f t="shared" si="10"/>
        <v>#REF!</v>
      </c>
      <c r="AU42" s="36" t="e">
        <f t="shared" si="11"/>
        <v>#REF!</v>
      </c>
    </row>
    <row r="43" spans="1:47" x14ac:dyDescent="0.3">
      <c r="A43" s="42">
        <v>28</v>
      </c>
      <c r="B43" s="44" t="s">
        <v>61</v>
      </c>
      <c r="C43" s="48"/>
      <c r="D43" s="38"/>
      <c r="E43" s="31"/>
      <c r="F43" s="25"/>
      <c r="G43" s="31"/>
      <c r="H43" s="50"/>
      <c r="I43" s="50"/>
      <c r="J43" s="25"/>
      <c r="K43" s="25"/>
      <c r="L43" s="25"/>
      <c r="M43" s="25"/>
      <c r="N43" s="25"/>
      <c r="O43" s="50"/>
      <c r="P43" s="50"/>
      <c r="Q43" s="20"/>
      <c r="R43" s="20"/>
      <c r="S43" s="20"/>
      <c r="T43" s="25"/>
      <c r="U43" s="25"/>
      <c r="V43" s="50"/>
      <c r="W43" s="50"/>
      <c r="X43" s="31"/>
      <c r="Y43" s="25"/>
      <c r="Z43" s="25"/>
      <c r="AA43" s="25"/>
      <c r="AB43" s="25"/>
      <c r="AC43" s="50"/>
      <c r="AD43" s="50"/>
      <c r="AE43" s="20"/>
      <c r="AF43" s="20"/>
      <c r="AG43" s="41">
        <f>(AG$16)-AJ43-AP43</f>
        <v>20</v>
      </c>
      <c r="AH43" s="41">
        <f t="shared" ref="AH43:AH72" si="12">COUNTIF(C43:AF43,"HIP")</f>
        <v>0</v>
      </c>
      <c r="AI43" s="41">
        <f t="shared" si="1"/>
        <v>0</v>
      </c>
      <c r="AJ43" s="41">
        <f t="shared" si="2"/>
        <v>0</v>
      </c>
      <c r="AK43" s="41">
        <f t="shared" si="3"/>
        <v>0</v>
      </c>
      <c r="AL43" s="41">
        <f t="shared" si="4"/>
        <v>0</v>
      </c>
      <c r="AM43" s="41">
        <f t="shared" si="5"/>
        <v>0</v>
      </c>
      <c r="AN43" s="41">
        <f t="shared" si="6"/>
        <v>0</v>
      </c>
      <c r="AO43" s="41">
        <f t="shared" si="7"/>
        <v>0</v>
      </c>
      <c r="AP43" s="41">
        <f>COUNTIF(C43:AF43,"A")</f>
        <v>0</v>
      </c>
      <c r="AQ43" s="35" t="e">
        <f>((AG43*2)+((AH43+AI43)*-1)+(AJ43*-1)+(AP43*-3))+(#REF!*-0.5)</f>
        <v>#REF!</v>
      </c>
      <c r="AR43" s="35">
        <f t="shared" si="8"/>
        <v>40</v>
      </c>
      <c r="AS43" s="35" t="e">
        <f t="shared" si="9"/>
        <v>#REF!</v>
      </c>
      <c r="AT43" s="35" t="e">
        <f t="shared" si="10"/>
        <v>#REF!</v>
      </c>
      <c r="AU43" s="36" t="e">
        <f t="shared" si="11"/>
        <v>#REF!</v>
      </c>
    </row>
    <row r="44" spans="1:47" x14ac:dyDescent="0.3">
      <c r="A44" s="42">
        <v>29</v>
      </c>
      <c r="B44" s="44" t="s">
        <v>62</v>
      </c>
      <c r="C44" s="48"/>
      <c r="D44" s="38"/>
      <c r="E44" s="31"/>
      <c r="F44" s="25"/>
      <c r="G44" s="31"/>
      <c r="H44" s="50"/>
      <c r="I44" s="50"/>
      <c r="J44" s="25"/>
      <c r="K44" s="25"/>
      <c r="L44" s="25"/>
      <c r="M44" s="25"/>
      <c r="N44" s="25"/>
      <c r="O44" s="50"/>
      <c r="P44" s="50"/>
      <c r="Q44" s="20"/>
      <c r="R44" s="20"/>
      <c r="S44" s="20"/>
      <c r="T44" s="25"/>
      <c r="U44" s="25"/>
      <c r="V44" s="50"/>
      <c r="W44" s="50"/>
      <c r="X44" s="31"/>
      <c r="Y44" s="25"/>
      <c r="Z44" s="25"/>
      <c r="AA44" s="25"/>
      <c r="AB44" s="25"/>
      <c r="AC44" s="50"/>
      <c r="AD44" s="50"/>
      <c r="AE44" s="20"/>
      <c r="AF44" s="20"/>
      <c r="AG44" s="41">
        <f>(AG$16)-AJ44-AP44</f>
        <v>20</v>
      </c>
      <c r="AH44" s="41">
        <f t="shared" si="12"/>
        <v>0</v>
      </c>
      <c r="AI44" s="41">
        <f t="shared" si="1"/>
        <v>0</v>
      </c>
      <c r="AJ44" s="41">
        <f t="shared" si="2"/>
        <v>0</v>
      </c>
      <c r="AK44" s="41">
        <f t="shared" si="3"/>
        <v>0</v>
      </c>
      <c r="AL44" s="41">
        <f t="shared" si="4"/>
        <v>0</v>
      </c>
      <c r="AM44" s="41">
        <f t="shared" si="5"/>
        <v>0</v>
      </c>
      <c r="AN44" s="41">
        <f t="shared" si="6"/>
        <v>0</v>
      </c>
      <c r="AO44" s="41">
        <f t="shared" si="7"/>
        <v>0</v>
      </c>
      <c r="AP44" s="41">
        <f>COUNTIF(C44:AF44,"A")</f>
        <v>0</v>
      </c>
      <c r="AQ44" s="35" t="e">
        <f>((AG44*2)+((AH44+AI44)*-1)+(AJ44*-1)+(AP44*-3))+(#REF!*-0.5)</f>
        <v>#REF!</v>
      </c>
      <c r="AR44" s="35">
        <f t="shared" si="8"/>
        <v>40</v>
      </c>
      <c r="AS44" s="35" t="e">
        <f t="shared" si="9"/>
        <v>#REF!</v>
      </c>
      <c r="AT44" s="35" t="e">
        <f t="shared" si="10"/>
        <v>#REF!</v>
      </c>
      <c r="AU44" s="36" t="e">
        <f t="shared" si="11"/>
        <v>#REF!</v>
      </c>
    </row>
    <row r="45" spans="1:47" x14ac:dyDescent="0.3">
      <c r="A45" s="42">
        <v>30</v>
      </c>
      <c r="B45" s="44" t="s">
        <v>63</v>
      </c>
      <c r="C45" s="48"/>
      <c r="D45" s="38"/>
      <c r="E45" s="31"/>
      <c r="F45" s="25"/>
      <c r="G45" s="31"/>
      <c r="H45" s="50"/>
      <c r="I45" s="50"/>
      <c r="J45" s="25"/>
      <c r="K45" s="25"/>
      <c r="L45" s="25"/>
      <c r="M45" s="25"/>
      <c r="N45" s="25"/>
      <c r="O45" s="50"/>
      <c r="P45" s="50"/>
      <c r="Q45" s="20"/>
      <c r="R45" s="20"/>
      <c r="S45" s="20"/>
      <c r="T45" s="25"/>
      <c r="U45" s="25"/>
      <c r="V45" s="50"/>
      <c r="W45" s="50"/>
      <c r="X45" s="31"/>
      <c r="Y45" s="25"/>
      <c r="Z45" s="25"/>
      <c r="AA45" s="25"/>
      <c r="AB45" s="25"/>
      <c r="AC45" s="50"/>
      <c r="AD45" s="50"/>
      <c r="AE45" s="20"/>
      <c r="AF45" s="20"/>
      <c r="AG45" s="41">
        <f>(AG$16)-AJ45-AP45</f>
        <v>20</v>
      </c>
      <c r="AH45" s="41">
        <f t="shared" si="12"/>
        <v>0</v>
      </c>
      <c r="AI45" s="41">
        <f t="shared" si="1"/>
        <v>0</v>
      </c>
      <c r="AJ45" s="41">
        <f t="shared" si="2"/>
        <v>0</v>
      </c>
      <c r="AK45" s="41">
        <f t="shared" si="3"/>
        <v>0</v>
      </c>
      <c r="AL45" s="41">
        <f t="shared" si="4"/>
        <v>0</v>
      </c>
      <c r="AM45" s="41">
        <f t="shared" si="5"/>
        <v>0</v>
      </c>
      <c r="AN45" s="41">
        <f t="shared" si="6"/>
        <v>0</v>
      </c>
      <c r="AO45" s="41">
        <f t="shared" si="7"/>
        <v>0</v>
      </c>
      <c r="AP45" s="41">
        <f>COUNTIF(C45:AF45,"A")</f>
        <v>0</v>
      </c>
      <c r="AQ45" s="35" t="e">
        <f>((AG45*2)+((AH45+AI45)*-1)+(AJ45*-1)+(AP45*-3))+(#REF!*-0.5)</f>
        <v>#REF!</v>
      </c>
      <c r="AR45" s="35">
        <f t="shared" si="8"/>
        <v>40</v>
      </c>
      <c r="AS45" s="35" t="e">
        <f t="shared" si="9"/>
        <v>#REF!</v>
      </c>
      <c r="AT45" s="35" t="e">
        <f t="shared" si="10"/>
        <v>#REF!</v>
      </c>
      <c r="AU45" s="36" t="e">
        <f t="shared" si="11"/>
        <v>#REF!</v>
      </c>
    </row>
    <row r="46" spans="1:47" x14ac:dyDescent="0.3">
      <c r="A46" s="42">
        <v>31</v>
      </c>
      <c r="B46" s="44" t="s">
        <v>64</v>
      </c>
      <c r="C46" s="48"/>
      <c r="D46" s="38"/>
      <c r="E46" s="31"/>
      <c r="F46" s="25"/>
      <c r="G46" s="31"/>
      <c r="H46" s="50"/>
      <c r="I46" s="50"/>
      <c r="J46" s="25"/>
      <c r="K46" s="25"/>
      <c r="L46" s="25"/>
      <c r="M46" s="25"/>
      <c r="N46" s="25"/>
      <c r="O46" s="50"/>
      <c r="P46" s="50"/>
      <c r="Q46" s="20"/>
      <c r="R46" s="20"/>
      <c r="S46" s="20"/>
      <c r="T46" s="25"/>
      <c r="U46" s="25"/>
      <c r="V46" s="50"/>
      <c r="W46" s="50"/>
      <c r="X46" s="31"/>
      <c r="Y46" s="25"/>
      <c r="Z46" s="25"/>
      <c r="AA46" s="25"/>
      <c r="AB46" s="25"/>
      <c r="AC46" s="50"/>
      <c r="AD46" s="50"/>
      <c r="AE46" s="20"/>
      <c r="AF46" s="20"/>
      <c r="AG46" s="41">
        <f>(AG$16)-AJ46-AP46</f>
        <v>20</v>
      </c>
      <c r="AH46" s="41">
        <f t="shared" si="12"/>
        <v>0</v>
      </c>
      <c r="AI46" s="41">
        <f t="shared" si="1"/>
        <v>0</v>
      </c>
      <c r="AJ46" s="41">
        <f t="shared" si="2"/>
        <v>0</v>
      </c>
      <c r="AK46" s="41">
        <f t="shared" si="3"/>
        <v>0</v>
      </c>
      <c r="AL46" s="41">
        <f t="shared" si="4"/>
        <v>0</v>
      </c>
      <c r="AM46" s="41">
        <f t="shared" si="5"/>
        <v>0</v>
      </c>
      <c r="AN46" s="41">
        <f t="shared" si="6"/>
        <v>0</v>
      </c>
      <c r="AO46" s="41">
        <f t="shared" si="7"/>
        <v>0</v>
      </c>
      <c r="AP46" s="41">
        <f>COUNTIF(C46:AF46,"A")</f>
        <v>0</v>
      </c>
      <c r="AQ46" s="35" t="e">
        <f>((AG46*2)+((AH46+AI46)*-1)+(AJ46*-1)+(AP46*-3))+(#REF!*-0.5)</f>
        <v>#REF!</v>
      </c>
      <c r="AR46" s="35">
        <f t="shared" si="8"/>
        <v>40</v>
      </c>
      <c r="AS46" s="35" t="e">
        <f t="shared" si="9"/>
        <v>#REF!</v>
      </c>
      <c r="AT46" s="35" t="e">
        <f t="shared" si="10"/>
        <v>#REF!</v>
      </c>
      <c r="AU46" s="36" t="e">
        <f t="shared" si="11"/>
        <v>#REF!</v>
      </c>
    </row>
    <row r="47" spans="1:47" x14ac:dyDescent="0.3">
      <c r="A47" s="42">
        <v>32</v>
      </c>
      <c r="B47" s="44" t="s">
        <v>65</v>
      </c>
      <c r="C47" s="48"/>
      <c r="D47" s="38"/>
      <c r="E47" s="31"/>
      <c r="F47" s="25"/>
      <c r="G47" s="31"/>
      <c r="H47" s="50"/>
      <c r="I47" s="50"/>
      <c r="J47" s="25"/>
      <c r="K47" s="25"/>
      <c r="L47" s="25"/>
      <c r="M47" s="25"/>
      <c r="N47" s="25"/>
      <c r="O47" s="50"/>
      <c r="P47" s="50"/>
      <c r="Q47" s="20"/>
      <c r="R47" s="20"/>
      <c r="S47" s="20"/>
      <c r="T47" s="25"/>
      <c r="U47" s="25"/>
      <c r="V47" s="50"/>
      <c r="W47" s="50"/>
      <c r="X47" s="31"/>
      <c r="Y47" s="25"/>
      <c r="Z47" s="25"/>
      <c r="AA47" s="25"/>
      <c r="AB47" s="25"/>
      <c r="AC47" s="50"/>
      <c r="AD47" s="50"/>
      <c r="AE47" s="20"/>
      <c r="AF47" s="20"/>
      <c r="AG47" s="41">
        <f>(AG$16)-AJ47-AP47</f>
        <v>20</v>
      </c>
      <c r="AH47" s="41">
        <f t="shared" si="12"/>
        <v>0</v>
      </c>
      <c r="AI47" s="41">
        <f t="shared" si="1"/>
        <v>0</v>
      </c>
      <c r="AJ47" s="41">
        <f t="shared" si="2"/>
        <v>0</v>
      </c>
      <c r="AK47" s="41">
        <f t="shared" si="3"/>
        <v>0</v>
      </c>
      <c r="AL47" s="41">
        <f t="shared" si="4"/>
        <v>0</v>
      </c>
      <c r="AM47" s="41">
        <f t="shared" si="5"/>
        <v>0</v>
      </c>
      <c r="AN47" s="41">
        <f t="shared" si="6"/>
        <v>0</v>
      </c>
      <c r="AO47" s="41">
        <f t="shared" si="7"/>
        <v>0</v>
      </c>
      <c r="AP47" s="41">
        <f>COUNTIF(C47:AF47,"A")</f>
        <v>0</v>
      </c>
      <c r="AQ47" s="35" t="e">
        <f>((AG47*2)+((AH47+AI47)*-1)+(AJ47*-1)+(AP47*-3))+(#REF!*-0.5)</f>
        <v>#REF!</v>
      </c>
      <c r="AR47" s="35">
        <f t="shared" si="8"/>
        <v>40</v>
      </c>
      <c r="AS47" s="35" t="e">
        <f t="shared" si="9"/>
        <v>#REF!</v>
      </c>
      <c r="AT47" s="35" t="e">
        <f t="shared" si="10"/>
        <v>#REF!</v>
      </c>
      <c r="AU47" s="36" t="e">
        <f t="shared" si="11"/>
        <v>#REF!</v>
      </c>
    </row>
    <row r="48" spans="1:47" x14ac:dyDescent="0.3">
      <c r="A48" s="42">
        <v>33</v>
      </c>
      <c r="B48" s="44" t="s">
        <v>66</v>
      </c>
      <c r="C48" s="48"/>
      <c r="D48" s="38"/>
      <c r="E48" s="31"/>
      <c r="F48" s="25"/>
      <c r="G48" s="31"/>
      <c r="H48" s="50"/>
      <c r="I48" s="50"/>
      <c r="J48" s="25"/>
      <c r="K48" s="25"/>
      <c r="L48" s="25"/>
      <c r="M48" s="25"/>
      <c r="N48" s="25"/>
      <c r="O48" s="39"/>
      <c r="P48" s="50"/>
      <c r="Q48" s="20"/>
      <c r="R48" s="20"/>
      <c r="S48" s="20"/>
      <c r="T48" s="25"/>
      <c r="U48" s="25"/>
      <c r="V48" s="50"/>
      <c r="W48" s="50"/>
      <c r="X48" s="31"/>
      <c r="Y48" s="25"/>
      <c r="Z48" s="25"/>
      <c r="AA48" s="25"/>
      <c r="AB48" s="25"/>
      <c r="AC48" s="50"/>
      <c r="AD48" s="50"/>
      <c r="AE48" s="20"/>
      <c r="AF48" s="20"/>
      <c r="AG48" s="41">
        <f>(AG$16)-AJ48-AP48</f>
        <v>20</v>
      </c>
      <c r="AH48" s="41">
        <f t="shared" si="12"/>
        <v>0</v>
      </c>
      <c r="AI48" s="41">
        <f t="shared" si="1"/>
        <v>0</v>
      </c>
      <c r="AJ48" s="41">
        <f t="shared" si="2"/>
        <v>0</v>
      </c>
      <c r="AK48" s="41">
        <f t="shared" si="3"/>
        <v>0</v>
      </c>
      <c r="AL48" s="41">
        <f t="shared" si="4"/>
        <v>0</v>
      </c>
      <c r="AM48" s="41">
        <f t="shared" si="5"/>
        <v>0</v>
      </c>
      <c r="AN48" s="41">
        <f t="shared" si="6"/>
        <v>0</v>
      </c>
      <c r="AO48" s="41">
        <f t="shared" si="7"/>
        <v>0</v>
      </c>
      <c r="AP48" s="41">
        <f>COUNTIF(C48:AF48,"A")</f>
        <v>0</v>
      </c>
      <c r="AQ48" s="35" t="e">
        <f>((AG48*2)+((AH48+AI48)*-1)+(AJ48*-1)+(AP48*-3))+(#REF!*-0.5)</f>
        <v>#REF!</v>
      </c>
      <c r="AR48" s="35">
        <f t="shared" si="8"/>
        <v>40</v>
      </c>
      <c r="AS48" s="35" t="e">
        <f t="shared" si="9"/>
        <v>#REF!</v>
      </c>
      <c r="AT48" s="35" t="e">
        <f t="shared" si="10"/>
        <v>#REF!</v>
      </c>
      <c r="AU48" s="36" t="e">
        <f t="shared" si="11"/>
        <v>#REF!</v>
      </c>
    </row>
    <row r="49" spans="1:47" x14ac:dyDescent="0.3">
      <c r="A49" s="42">
        <v>34</v>
      </c>
      <c r="B49" s="44" t="s">
        <v>67</v>
      </c>
      <c r="C49" s="48"/>
      <c r="D49" s="38"/>
      <c r="E49" s="31"/>
      <c r="F49" s="25"/>
      <c r="G49" s="31"/>
      <c r="H49" s="50"/>
      <c r="I49" s="50"/>
      <c r="J49" s="25"/>
      <c r="K49" s="25"/>
      <c r="L49" s="25"/>
      <c r="M49" s="25"/>
      <c r="N49" s="25"/>
      <c r="O49" s="39"/>
      <c r="P49" s="50"/>
      <c r="Q49" s="20"/>
      <c r="R49" s="20"/>
      <c r="S49" s="20"/>
      <c r="T49" s="25"/>
      <c r="U49" s="25"/>
      <c r="V49" s="50"/>
      <c r="W49" s="50"/>
      <c r="X49" s="31"/>
      <c r="Y49" s="25"/>
      <c r="Z49" s="25"/>
      <c r="AA49" s="25"/>
      <c r="AB49" s="25"/>
      <c r="AC49" s="53"/>
      <c r="AD49" s="50"/>
      <c r="AE49" s="20"/>
      <c r="AF49" s="20"/>
      <c r="AG49" s="41">
        <f>(AG$16)-AJ49-AP49</f>
        <v>20</v>
      </c>
      <c r="AH49" s="41">
        <f t="shared" si="12"/>
        <v>0</v>
      </c>
      <c r="AI49" s="41">
        <f t="shared" ref="AI49:AI80" si="13">COUNTIF(C49:AF49,"HIS")</f>
        <v>0</v>
      </c>
      <c r="AJ49" s="41">
        <f t="shared" ref="AJ49:AJ80" si="14">COUNTIF(C49:AF49,"I")</f>
        <v>0</v>
      </c>
      <c r="AK49" s="41">
        <f t="shared" ref="AK49:AK80" si="15">COUNTIF(C49:AF49,"IL")</f>
        <v>0</v>
      </c>
      <c r="AL49" s="41">
        <f t="shared" ref="AL49:AL80" si="16">COUNTIF(C49:AF49,"PM")</f>
        <v>0</v>
      </c>
      <c r="AM49" s="41">
        <f t="shared" ref="AM49:AM80" si="17">COUNTIF(C49:AF49,"OTL")</f>
        <v>0</v>
      </c>
      <c r="AN49" s="41">
        <f t="shared" ref="AN49:AN80" si="18">COUNTIF(C49:AF49,"AL")</f>
        <v>0</v>
      </c>
      <c r="AO49" s="41">
        <f t="shared" ref="AO49:AO80" si="19">COUNTIF(C49:AF49,"DL")</f>
        <v>0</v>
      </c>
      <c r="AP49" s="41">
        <f>COUNTIF(C49:AF49,"A")</f>
        <v>0</v>
      </c>
      <c r="AQ49" s="35" t="e">
        <f>((AG49*2)+((AH49+AI49)*-1)+(AJ49*-1)+(AP49*-3))+(#REF!*-0.5)</f>
        <v>#REF!</v>
      </c>
      <c r="AR49" s="35">
        <f t="shared" ref="AR49:AR80" si="20">AG49*2</f>
        <v>40</v>
      </c>
      <c r="AS49" s="35" t="e">
        <f t="shared" si="9"/>
        <v>#REF!</v>
      </c>
      <c r="AT49" s="35" t="e">
        <f t="shared" si="10"/>
        <v>#REF!</v>
      </c>
      <c r="AU49" s="36" t="e">
        <f t="shared" si="11"/>
        <v>#REF!</v>
      </c>
    </row>
    <row r="50" spans="1:47" x14ac:dyDescent="0.3">
      <c r="A50" s="42">
        <v>35</v>
      </c>
      <c r="B50" s="44" t="s">
        <v>68</v>
      </c>
      <c r="C50" s="48"/>
      <c r="D50" s="38"/>
      <c r="E50" s="31"/>
      <c r="F50" s="25"/>
      <c r="G50" s="31"/>
      <c r="H50" s="50"/>
      <c r="I50" s="50"/>
      <c r="J50" s="25"/>
      <c r="K50" s="25"/>
      <c r="L50" s="25"/>
      <c r="M50" s="25"/>
      <c r="N50" s="25"/>
      <c r="O50" s="39"/>
      <c r="P50" s="50"/>
      <c r="Q50" s="20"/>
      <c r="R50" s="20"/>
      <c r="S50" s="20"/>
      <c r="T50" s="25"/>
      <c r="U50" s="25"/>
      <c r="V50" s="50"/>
      <c r="W50" s="50"/>
      <c r="X50" s="31"/>
      <c r="Y50" s="25"/>
      <c r="Z50" s="25"/>
      <c r="AA50" s="25"/>
      <c r="AB50" s="25"/>
      <c r="AC50" s="53"/>
      <c r="AD50" s="50"/>
      <c r="AE50" s="20"/>
      <c r="AF50" s="20"/>
      <c r="AG50" s="41">
        <f>(AG$16)-AJ50-AP50</f>
        <v>20</v>
      </c>
      <c r="AH50" s="41">
        <f t="shared" si="12"/>
        <v>0</v>
      </c>
      <c r="AI50" s="41">
        <f t="shared" si="13"/>
        <v>0</v>
      </c>
      <c r="AJ50" s="41">
        <f t="shared" si="14"/>
        <v>0</v>
      </c>
      <c r="AK50" s="41">
        <f t="shared" si="15"/>
        <v>0</v>
      </c>
      <c r="AL50" s="41">
        <f t="shared" si="16"/>
        <v>0</v>
      </c>
      <c r="AM50" s="41">
        <f t="shared" si="17"/>
        <v>0</v>
      </c>
      <c r="AN50" s="41">
        <f t="shared" si="18"/>
        <v>0</v>
      </c>
      <c r="AO50" s="41">
        <f t="shared" si="19"/>
        <v>0</v>
      </c>
      <c r="AP50" s="41">
        <f>COUNTIF(C50:AF50,"A")</f>
        <v>0</v>
      </c>
      <c r="AQ50" s="35" t="e">
        <f>((AG50*2)+((AH50+AI50)*-1)+(AJ50*-1)+(AP50*-3))+(#REF!*-0.5)</f>
        <v>#REF!</v>
      </c>
      <c r="AR50" s="35">
        <f t="shared" si="20"/>
        <v>40</v>
      </c>
      <c r="AS50" s="35" t="e">
        <f t="shared" si="9"/>
        <v>#REF!</v>
      </c>
      <c r="AT50" s="35" t="e">
        <f t="shared" si="10"/>
        <v>#REF!</v>
      </c>
      <c r="AU50" s="36" t="e">
        <f t="shared" si="11"/>
        <v>#REF!</v>
      </c>
    </row>
    <row r="51" spans="1:47" x14ac:dyDescent="0.3">
      <c r="A51" s="42">
        <v>36</v>
      </c>
      <c r="B51" s="43" t="s">
        <v>69</v>
      </c>
      <c r="C51" s="31"/>
      <c r="D51" s="38"/>
      <c r="E51" s="31"/>
      <c r="F51" s="25"/>
      <c r="G51" s="31"/>
      <c r="H51" s="39"/>
      <c r="I51" s="39"/>
      <c r="J51" s="25"/>
      <c r="K51" s="25"/>
      <c r="L51" s="25"/>
      <c r="M51" s="25"/>
      <c r="N51" s="25"/>
      <c r="O51" s="39"/>
      <c r="P51" s="39"/>
      <c r="Q51" s="20"/>
      <c r="R51" s="20"/>
      <c r="S51" s="20"/>
      <c r="T51" s="25"/>
      <c r="U51" s="25"/>
      <c r="V51" s="39"/>
      <c r="W51" s="39"/>
      <c r="X51" s="31"/>
      <c r="Y51" s="25"/>
      <c r="Z51" s="25"/>
      <c r="AA51" s="25"/>
      <c r="AB51" s="25"/>
      <c r="AC51" s="54"/>
      <c r="AD51" s="55"/>
      <c r="AE51" s="20"/>
      <c r="AF51" s="20"/>
      <c r="AG51" s="41">
        <f>(AG$16)-AJ51-AP51</f>
        <v>20</v>
      </c>
      <c r="AH51" s="41">
        <f t="shared" si="12"/>
        <v>0</v>
      </c>
      <c r="AI51" s="41">
        <f t="shared" si="13"/>
        <v>0</v>
      </c>
      <c r="AJ51" s="41">
        <f t="shared" si="14"/>
        <v>0</v>
      </c>
      <c r="AK51" s="41">
        <f t="shared" si="15"/>
        <v>0</v>
      </c>
      <c r="AL51" s="41">
        <f t="shared" si="16"/>
        <v>0</v>
      </c>
      <c r="AM51" s="41">
        <f t="shared" si="17"/>
        <v>0</v>
      </c>
      <c r="AN51" s="41">
        <f t="shared" si="18"/>
        <v>0</v>
      </c>
      <c r="AO51" s="41">
        <f t="shared" si="19"/>
        <v>0</v>
      </c>
      <c r="AP51" s="41">
        <f>COUNTIF(C51:AF51,"A")</f>
        <v>0</v>
      </c>
      <c r="AQ51" s="35" t="e">
        <f>((AG51*2)+((AH51+AI51)*-1)+(AJ51*-1)+(AP51*-3))+(#REF!*-0.5)</f>
        <v>#REF!</v>
      </c>
      <c r="AR51" s="35">
        <f t="shared" si="20"/>
        <v>40</v>
      </c>
      <c r="AS51" s="35" t="e">
        <f t="shared" si="9"/>
        <v>#REF!</v>
      </c>
      <c r="AT51" s="35" t="e">
        <f t="shared" si="10"/>
        <v>#REF!</v>
      </c>
      <c r="AU51" s="36" t="e">
        <f t="shared" si="11"/>
        <v>#REF!</v>
      </c>
    </row>
    <row r="52" spans="1:47" x14ac:dyDescent="0.3">
      <c r="A52" s="42">
        <v>37</v>
      </c>
      <c r="B52" s="43" t="s">
        <v>70</v>
      </c>
      <c r="C52" s="31"/>
      <c r="D52" s="38"/>
      <c r="E52" s="31"/>
      <c r="F52" s="25"/>
      <c r="G52" s="31"/>
      <c r="H52" s="39"/>
      <c r="I52" s="39"/>
      <c r="J52" s="25"/>
      <c r="K52" s="25"/>
      <c r="L52" s="25"/>
      <c r="M52" s="25"/>
      <c r="N52" s="25"/>
      <c r="O52" s="39"/>
      <c r="P52" s="39"/>
      <c r="Q52" s="20"/>
      <c r="R52" s="20"/>
      <c r="S52" s="20"/>
      <c r="T52" s="25"/>
      <c r="U52" s="25"/>
      <c r="V52" s="39"/>
      <c r="W52" s="39"/>
      <c r="X52" s="31"/>
      <c r="Y52" s="25"/>
      <c r="Z52" s="25"/>
      <c r="AA52" s="25"/>
      <c r="AB52" s="25"/>
      <c r="AC52" s="39"/>
      <c r="AD52" s="39"/>
      <c r="AE52" s="20"/>
      <c r="AF52" s="20"/>
      <c r="AG52" s="41">
        <f>(AG$16)-AJ52-AP52</f>
        <v>20</v>
      </c>
      <c r="AH52" s="41">
        <f t="shared" si="12"/>
        <v>0</v>
      </c>
      <c r="AI52" s="41">
        <f t="shared" si="13"/>
        <v>0</v>
      </c>
      <c r="AJ52" s="41">
        <f t="shared" si="14"/>
        <v>0</v>
      </c>
      <c r="AK52" s="41">
        <f t="shared" si="15"/>
        <v>0</v>
      </c>
      <c r="AL52" s="41">
        <f t="shared" si="16"/>
        <v>0</v>
      </c>
      <c r="AM52" s="41">
        <f t="shared" si="17"/>
        <v>0</v>
      </c>
      <c r="AN52" s="41">
        <f t="shared" si="18"/>
        <v>0</v>
      </c>
      <c r="AO52" s="41">
        <f t="shared" si="19"/>
        <v>0</v>
      </c>
      <c r="AP52" s="41">
        <f>COUNTIF(C52:AF52,"A")</f>
        <v>0</v>
      </c>
      <c r="AQ52" s="35" t="e">
        <f>((AG52*2)+((AH52+AI52)*-1)+(AJ52*-1)+(AP52*-3))+(#REF!*-0.5)</f>
        <v>#REF!</v>
      </c>
      <c r="AR52" s="35">
        <f t="shared" si="20"/>
        <v>40</v>
      </c>
      <c r="AS52" s="35" t="e">
        <f t="shared" si="9"/>
        <v>#REF!</v>
      </c>
      <c r="AT52" s="35" t="e">
        <f t="shared" si="10"/>
        <v>#REF!</v>
      </c>
      <c r="AU52" s="36" t="e">
        <f t="shared" si="11"/>
        <v>#REF!</v>
      </c>
    </row>
    <row r="53" spans="1:47" x14ac:dyDescent="0.3">
      <c r="A53" s="42">
        <v>38</v>
      </c>
      <c r="B53" s="43" t="s">
        <v>71</v>
      </c>
      <c r="C53" s="31"/>
      <c r="D53" s="38"/>
      <c r="E53" s="31"/>
      <c r="F53" s="25"/>
      <c r="G53" s="31"/>
      <c r="H53" s="39"/>
      <c r="I53" s="39"/>
      <c r="J53" s="25"/>
      <c r="K53" s="25"/>
      <c r="L53" s="25"/>
      <c r="M53" s="25"/>
      <c r="N53" s="25"/>
      <c r="O53" s="39"/>
      <c r="P53" s="39"/>
      <c r="Q53" s="20"/>
      <c r="R53" s="20"/>
      <c r="S53" s="20"/>
      <c r="T53" s="25"/>
      <c r="U53" s="25"/>
      <c r="V53" s="39"/>
      <c r="W53" s="39"/>
      <c r="X53" s="31"/>
      <c r="Y53" s="25"/>
      <c r="Z53" s="25"/>
      <c r="AA53" s="25"/>
      <c r="AB53" s="25"/>
      <c r="AC53" s="39"/>
      <c r="AD53" s="39"/>
      <c r="AE53" s="20"/>
      <c r="AF53" s="20"/>
      <c r="AG53" s="41">
        <f>(AG$16)-AJ53-AP53</f>
        <v>20</v>
      </c>
      <c r="AH53" s="41">
        <f t="shared" si="12"/>
        <v>0</v>
      </c>
      <c r="AI53" s="41">
        <f t="shared" si="13"/>
        <v>0</v>
      </c>
      <c r="AJ53" s="41">
        <f t="shared" si="14"/>
        <v>0</v>
      </c>
      <c r="AK53" s="41">
        <f t="shared" si="15"/>
        <v>0</v>
      </c>
      <c r="AL53" s="41">
        <f t="shared" si="16"/>
        <v>0</v>
      </c>
      <c r="AM53" s="41">
        <f t="shared" si="17"/>
        <v>0</v>
      </c>
      <c r="AN53" s="41">
        <f t="shared" si="18"/>
        <v>0</v>
      </c>
      <c r="AO53" s="41">
        <f t="shared" si="19"/>
        <v>0</v>
      </c>
      <c r="AP53" s="41">
        <f>COUNTIF(C53:AF53,"A")</f>
        <v>0</v>
      </c>
      <c r="AQ53" s="35" t="e">
        <f>((AG53*2)+((AH53+AI53)*-1)+(AJ53*-1)+(AP53*-3))+(#REF!*-0.5)</f>
        <v>#REF!</v>
      </c>
      <c r="AR53" s="35">
        <f t="shared" si="20"/>
        <v>40</v>
      </c>
      <c r="AS53" s="35" t="e">
        <f t="shared" si="9"/>
        <v>#REF!</v>
      </c>
      <c r="AT53" s="35" t="e">
        <f t="shared" si="10"/>
        <v>#REF!</v>
      </c>
      <c r="AU53" s="36" t="e">
        <f t="shared" si="11"/>
        <v>#REF!</v>
      </c>
    </row>
    <row r="54" spans="1:47" x14ac:dyDescent="0.3">
      <c r="A54" s="42">
        <v>39</v>
      </c>
      <c r="B54" s="44" t="s">
        <v>72</v>
      </c>
      <c r="C54" s="31"/>
      <c r="D54" s="38"/>
      <c r="E54" s="31"/>
      <c r="F54" s="25"/>
      <c r="G54" s="31"/>
      <c r="H54" s="39"/>
      <c r="I54" s="39"/>
      <c r="J54" s="25"/>
      <c r="K54" s="25"/>
      <c r="L54" s="25"/>
      <c r="M54" s="25"/>
      <c r="N54" s="25"/>
      <c r="O54" s="39"/>
      <c r="P54" s="39"/>
      <c r="Q54" s="20"/>
      <c r="R54" s="20"/>
      <c r="S54" s="20"/>
      <c r="T54" s="25"/>
      <c r="U54" s="25"/>
      <c r="V54" s="39"/>
      <c r="W54" s="39"/>
      <c r="X54" s="31"/>
      <c r="Y54" s="25"/>
      <c r="Z54" s="25"/>
      <c r="AA54" s="25"/>
      <c r="AB54" s="25"/>
      <c r="AC54" s="39"/>
      <c r="AD54" s="39"/>
      <c r="AE54" s="20"/>
      <c r="AF54" s="20"/>
      <c r="AG54" s="41">
        <f>(AG$16)-AJ54-AP54</f>
        <v>20</v>
      </c>
      <c r="AH54" s="41">
        <f t="shared" si="12"/>
        <v>0</v>
      </c>
      <c r="AI54" s="41">
        <f t="shared" si="13"/>
        <v>0</v>
      </c>
      <c r="AJ54" s="41">
        <f t="shared" si="14"/>
        <v>0</v>
      </c>
      <c r="AK54" s="41">
        <f t="shared" si="15"/>
        <v>0</v>
      </c>
      <c r="AL54" s="41">
        <f t="shared" si="16"/>
        <v>0</v>
      </c>
      <c r="AM54" s="41">
        <f t="shared" si="17"/>
        <v>0</v>
      </c>
      <c r="AN54" s="41">
        <f t="shared" si="18"/>
        <v>0</v>
      </c>
      <c r="AO54" s="41">
        <f t="shared" si="19"/>
        <v>0</v>
      </c>
      <c r="AP54" s="41">
        <f>COUNTIF(C54:AF54,"A")</f>
        <v>0</v>
      </c>
      <c r="AQ54" s="35" t="e">
        <f>((AG54*2)+((AH54+AI54)*-1)+(AJ54*-1)+(AP54*-3))+(#REF!*-0.5)</f>
        <v>#REF!</v>
      </c>
      <c r="AR54" s="35">
        <f t="shared" si="20"/>
        <v>40</v>
      </c>
      <c r="AS54" s="35" t="e">
        <f t="shared" si="9"/>
        <v>#REF!</v>
      </c>
      <c r="AT54" s="35" t="e">
        <f t="shared" si="10"/>
        <v>#REF!</v>
      </c>
      <c r="AU54" s="36" t="e">
        <f t="shared" si="11"/>
        <v>#REF!</v>
      </c>
    </row>
    <row r="55" spans="1:47" x14ac:dyDescent="0.3">
      <c r="A55" s="42">
        <v>40</v>
      </c>
      <c r="B55" s="44" t="s">
        <v>73</v>
      </c>
      <c r="C55" s="31"/>
      <c r="D55" s="38"/>
      <c r="E55" s="31"/>
      <c r="F55" s="25"/>
      <c r="G55" s="31"/>
      <c r="H55" s="39"/>
      <c r="I55" s="39"/>
      <c r="J55" s="25"/>
      <c r="K55" s="25"/>
      <c r="L55" s="25"/>
      <c r="M55" s="25"/>
      <c r="N55" s="25"/>
      <c r="O55" s="39"/>
      <c r="P55" s="39"/>
      <c r="Q55" s="20"/>
      <c r="R55" s="20"/>
      <c r="S55" s="20"/>
      <c r="T55" s="25"/>
      <c r="U55" s="25"/>
      <c r="V55" s="39"/>
      <c r="W55" s="39"/>
      <c r="X55" s="31"/>
      <c r="Y55" s="25"/>
      <c r="Z55" s="25"/>
      <c r="AA55" s="25"/>
      <c r="AB55" s="25"/>
      <c r="AC55" s="39"/>
      <c r="AD55" s="39"/>
      <c r="AE55" s="20"/>
      <c r="AF55" s="20"/>
      <c r="AG55" s="41">
        <f>(AG$16)-AJ55-AP55</f>
        <v>20</v>
      </c>
      <c r="AH55" s="41">
        <f t="shared" si="12"/>
        <v>0</v>
      </c>
      <c r="AI55" s="41">
        <f t="shared" si="13"/>
        <v>0</v>
      </c>
      <c r="AJ55" s="41">
        <f t="shared" si="14"/>
        <v>0</v>
      </c>
      <c r="AK55" s="41">
        <f t="shared" si="15"/>
        <v>0</v>
      </c>
      <c r="AL55" s="41">
        <f t="shared" si="16"/>
        <v>0</v>
      </c>
      <c r="AM55" s="41">
        <f t="shared" si="17"/>
        <v>0</v>
      </c>
      <c r="AN55" s="41">
        <f t="shared" si="18"/>
        <v>0</v>
      </c>
      <c r="AO55" s="41">
        <f t="shared" si="19"/>
        <v>0</v>
      </c>
      <c r="AP55" s="41">
        <f>COUNTIF(C55:AF55,"A")</f>
        <v>0</v>
      </c>
      <c r="AQ55" s="35" t="e">
        <f>((AG55*2)+((AH55+AI55)*-1)+(AJ55*-1)+(AP55*-3))+(#REF!*-0.5)</f>
        <v>#REF!</v>
      </c>
      <c r="AR55" s="35">
        <f t="shared" si="20"/>
        <v>40</v>
      </c>
      <c r="AS55" s="35" t="e">
        <f t="shared" si="9"/>
        <v>#REF!</v>
      </c>
      <c r="AT55" s="35" t="e">
        <f t="shared" si="10"/>
        <v>#REF!</v>
      </c>
      <c r="AU55" s="36" t="e">
        <f t="shared" si="11"/>
        <v>#REF!</v>
      </c>
    </row>
    <row r="56" spans="1:47" x14ac:dyDescent="0.3">
      <c r="A56" s="42">
        <v>41</v>
      </c>
      <c r="B56" s="44" t="s">
        <v>75</v>
      </c>
      <c r="C56" s="31"/>
      <c r="D56" s="38"/>
      <c r="E56" s="31"/>
      <c r="F56" s="25"/>
      <c r="G56" s="31"/>
      <c r="H56" s="39"/>
      <c r="I56" s="39"/>
      <c r="J56" s="25"/>
      <c r="K56" s="25"/>
      <c r="L56" s="25"/>
      <c r="M56" s="25"/>
      <c r="N56" s="25"/>
      <c r="O56" s="39"/>
      <c r="P56" s="39"/>
      <c r="Q56" s="20"/>
      <c r="R56" s="20"/>
      <c r="S56" s="20"/>
      <c r="T56" s="25"/>
      <c r="U56" s="25"/>
      <c r="V56" s="39"/>
      <c r="W56" s="39"/>
      <c r="X56" s="31"/>
      <c r="Y56" s="25"/>
      <c r="Z56" s="25"/>
      <c r="AA56" s="25"/>
      <c r="AB56" s="25"/>
      <c r="AC56" s="39"/>
      <c r="AD56" s="39"/>
      <c r="AE56" s="20"/>
      <c r="AF56" s="20"/>
      <c r="AG56" s="41">
        <f>(AG$16)-AJ56-AP56</f>
        <v>20</v>
      </c>
      <c r="AH56" s="41">
        <f t="shared" si="12"/>
        <v>0</v>
      </c>
      <c r="AI56" s="41">
        <f t="shared" si="13"/>
        <v>0</v>
      </c>
      <c r="AJ56" s="41">
        <f t="shared" si="14"/>
        <v>0</v>
      </c>
      <c r="AK56" s="41">
        <f t="shared" si="15"/>
        <v>0</v>
      </c>
      <c r="AL56" s="41">
        <f t="shared" si="16"/>
        <v>0</v>
      </c>
      <c r="AM56" s="41">
        <f t="shared" si="17"/>
        <v>0</v>
      </c>
      <c r="AN56" s="41">
        <f t="shared" si="18"/>
        <v>0</v>
      </c>
      <c r="AO56" s="41">
        <f t="shared" si="19"/>
        <v>0</v>
      </c>
      <c r="AP56" s="41">
        <f>COUNTIF(C56:AF56,"A")</f>
        <v>0</v>
      </c>
      <c r="AQ56" s="35" t="e">
        <f>((AG56*2)+((AH56+AI56)*-1)+(AJ56*-1)+(AP56*-3))+(#REF!*-0.5)</f>
        <v>#REF!</v>
      </c>
      <c r="AR56" s="35">
        <f t="shared" si="20"/>
        <v>40</v>
      </c>
      <c r="AS56" s="35" t="e">
        <f t="shared" si="9"/>
        <v>#REF!</v>
      </c>
      <c r="AT56" s="35" t="e">
        <f t="shared" si="10"/>
        <v>#REF!</v>
      </c>
      <c r="AU56" s="36" t="e">
        <f t="shared" si="11"/>
        <v>#REF!</v>
      </c>
    </row>
    <row r="57" spans="1:47" x14ac:dyDescent="0.3">
      <c r="A57" s="42">
        <v>42</v>
      </c>
      <c r="B57" s="43" t="s">
        <v>76</v>
      </c>
      <c r="C57" s="45"/>
      <c r="D57" s="38"/>
      <c r="E57" s="31"/>
      <c r="F57" s="25"/>
      <c r="G57" s="31"/>
      <c r="H57" s="39"/>
      <c r="I57" s="39"/>
      <c r="J57" s="25"/>
      <c r="K57" s="25"/>
      <c r="L57" s="25"/>
      <c r="M57" s="25"/>
      <c r="N57" s="25"/>
      <c r="O57" s="39"/>
      <c r="P57" s="39"/>
      <c r="Q57" s="20"/>
      <c r="R57" s="20"/>
      <c r="S57" s="20"/>
      <c r="T57" s="25"/>
      <c r="U57" s="25"/>
      <c r="V57" s="39"/>
      <c r="W57" s="39"/>
      <c r="X57" s="31"/>
      <c r="Y57" s="25"/>
      <c r="Z57" s="25"/>
      <c r="AA57" s="25"/>
      <c r="AB57" s="25"/>
      <c r="AC57" s="39"/>
      <c r="AD57" s="39"/>
      <c r="AE57" s="20"/>
      <c r="AF57" s="20"/>
      <c r="AG57" s="41">
        <f>(AG$16)-AJ57-AP57</f>
        <v>20</v>
      </c>
      <c r="AH57" s="41">
        <f t="shared" si="12"/>
        <v>0</v>
      </c>
      <c r="AI57" s="41">
        <f t="shared" si="13"/>
        <v>0</v>
      </c>
      <c r="AJ57" s="41">
        <f t="shared" si="14"/>
        <v>0</v>
      </c>
      <c r="AK57" s="41">
        <f t="shared" si="15"/>
        <v>0</v>
      </c>
      <c r="AL57" s="41">
        <f t="shared" si="16"/>
        <v>0</v>
      </c>
      <c r="AM57" s="41">
        <f t="shared" si="17"/>
        <v>0</v>
      </c>
      <c r="AN57" s="41">
        <f t="shared" si="18"/>
        <v>0</v>
      </c>
      <c r="AO57" s="41">
        <f t="shared" si="19"/>
        <v>0</v>
      </c>
      <c r="AP57" s="41">
        <f>COUNTIF(C57:AF57,"A")</f>
        <v>0</v>
      </c>
      <c r="AQ57" s="35" t="e">
        <f>((AG57*2)+((AH57+AI57)*-1)+(AJ57*-1)+(AP57*-3))+(#REF!*-0.5)</f>
        <v>#REF!</v>
      </c>
      <c r="AR57" s="35">
        <f t="shared" si="20"/>
        <v>40</v>
      </c>
      <c r="AS57" s="35" t="e">
        <f t="shared" si="9"/>
        <v>#REF!</v>
      </c>
      <c r="AT57" s="35" t="e">
        <f t="shared" si="10"/>
        <v>#REF!</v>
      </c>
      <c r="AU57" s="36" t="e">
        <f t="shared" si="11"/>
        <v>#REF!</v>
      </c>
    </row>
    <row r="58" spans="1:47" x14ac:dyDescent="0.3">
      <c r="A58" s="42">
        <v>43</v>
      </c>
      <c r="B58" s="43" t="s">
        <v>77</v>
      </c>
      <c r="C58" s="45"/>
      <c r="D58" s="38"/>
      <c r="E58" s="31"/>
      <c r="F58" s="25"/>
      <c r="G58" s="31"/>
      <c r="H58" s="39"/>
      <c r="I58" s="39"/>
      <c r="J58" s="25"/>
      <c r="K58" s="25"/>
      <c r="L58" s="25"/>
      <c r="M58" s="25"/>
      <c r="N58" s="25"/>
      <c r="O58" s="39"/>
      <c r="P58" s="39"/>
      <c r="Q58" s="20"/>
      <c r="R58" s="20"/>
      <c r="S58" s="20"/>
      <c r="T58" s="25"/>
      <c r="U58" s="25"/>
      <c r="V58" s="39"/>
      <c r="W58" s="39"/>
      <c r="X58" s="31"/>
      <c r="Y58" s="25"/>
      <c r="Z58" s="25"/>
      <c r="AA58" s="25"/>
      <c r="AB58" s="25"/>
      <c r="AC58" s="39"/>
      <c r="AD58" s="39"/>
      <c r="AE58" s="20"/>
      <c r="AF58" s="20"/>
      <c r="AG58" s="41">
        <f>(AG$16)-AJ58-AP58</f>
        <v>20</v>
      </c>
      <c r="AH58" s="41">
        <f t="shared" si="12"/>
        <v>0</v>
      </c>
      <c r="AI58" s="41">
        <f t="shared" si="13"/>
        <v>0</v>
      </c>
      <c r="AJ58" s="41">
        <f t="shared" si="14"/>
        <v>0</v>
      </c>
      <c r="AK58" s="41">
        <f t="shared" si="15"/>
        <v>0</v>
      </c>
      <c r="AL58" s="41">
        <f t="shared" si="16"/>
        <v>0</v>
      </c>
      <c r="AM58" s="41">
        <f t="shared" si="17"/>
        <v>0</v>
      </c>
      <c r="AN58" s="41">
        <f t="shared" si="18"/>
        <v>0</v>
      </c>
      <c r="AO58" s="41">
        <f t="shared" si="19"/>
        <v>0</v>
      </c>
      <c r="AP58" s="41">
        <f>COUNTIF(C58:AF58,"A")</f>
        <v>0</v>
      </c>
      <c r="AQ58" s="35" t="e">
        <f>((AG58*2)+((AH58+AI58)*-1)+(AJ58*-1)+(AP58*-3))+(#REF!*-0.5)</f>
        <v>#REF!</v>
      </c>
      <c r="AR58" s="35">
        <f t="shared" si="20"/>
        <v>40</v>
      </c>
      <c r="AS58" s="35" t="e">
        <f t="shared" si="9"/>
        <v>#REF!</v>
      </c>
      <c r="AT58" s="35" t="e">
        <f t="shared" si="10"/>
        <v>#REF!</v>
      </c>
      <c r="AU58" s="36" t="e">
        <f t="shared" si="11"/>
        <v>#REF!</v>
      </c>
    </row>
    <row r="59" spans="1:47" x14ac:dyDescent="0.3">
      <c r="A59" s="42">
        <v>44</v>
      </c>
      <c r="B59" s="43" t="s">
        <v>78</v>
      </c>
      <c r="C59" s="45"/>
      <c r="D59" s="38"/>
      <c r="E59" s="31"/>
      <c r="F59" s="25"/>
      <c r="G59" s="31"/>
      <c r="H59" s="39"/>
      <c r="I59" s="39"/>
      <c r="J59" s="25"/>
      <c r="K59" s="25"/>
      <c r="L59" s="25"/>
      <c r="M59" s="25"/>
      <c r="N59" s="25"/>
      <c r="O59" s="39"/>
      <c r="P59" s="39"/>
      <c r="Q59" s="20"/>
      <c r="R59" s="20"/>
      <c r="S59" s="20"/>
      <c r="T59" s="25"/>
      <c r="U59" s="25"/>
      <c r="V59" s="39"/>
      <c r="W59" s="39"/>
      <c r="X59" s="31"/>
      <c r="Y59" s="25"/>
      <c r="Z59" s="25"/>
      <c r="AA59" s="25"/>
      <c r="AB59" s="25"/>
      <c r="AC59" s="39"/>
      <c r="AD59" s="39"/>
      <c r="AE59" s="20"/>
      <c r="AF59" s="20"/>
      <c r="AG59" s="41">
        <f>(AG$16)-AJ59-AP59</f>
        <v>20</v>
      </c>
      <c r="AH59" s="41">
        <f t="shared" si="12"/>
        <v>0</v>
      </c>
      <c r="AI59" s="41">
        <f t="shared" si="13"/>
        <v>0</v>
      </c>
      <c r="AJ59" s="41">
        <f t="shared" si="14"/>
        <v>0</v>
      </c>
      <c r="AK59" s="41">
        <f t="shared" si="15"/>
        <v>0</v>
      </c>
      <c r="AL59" s="41">
        <f t="shared" si="16"/>
        <v>0</v>
      </c>
      <c r="AM59" s="41">
        <f t="shared" si="17"/>
        <v>0</v>
      </c>
      <c r="AN59" s="41">
        <f t="shared" si="18"/>
        <v>0</v>
      </c>
      <c r="AO59" s="41">
        <f t="shared" si="19"/>
        <v>0</v>
      </c>
      <c r="AP59" s="41">
        <f>COUNTIF(C59:AF59,"A")</f>
        <v>0</v>
      </c>
      <c r="AQ59" s="35" t="e">
        <f>((AG59*2)+((AH59+AI59)*-1)+(AJ59*-1)+(AP59*-3))+(#REF!*-0.5)</f>
        <v>#REF!</v>
      </c>
      <c r="AR59" s="35">
        <f t="shared" si="20"/>
        <v>40</v>
      </c>
      <c r="AS59" s="35" t="e">
        <f t="shared" si="9"/>
        <v>#REF!</v>
      </c>
      <c r="AT59" s="35" t="e">
        <f t="shared" si="10"/>
        <v>#REF!</v>
      </c>
      <c r="AU59" s="36" t="e">
        <f t="shared" si="11"/>
        <v>#REF!</v>
      </c>
    </row>
    <row r="60" spans="1:47" x14ac:dyDescent="0.3">
      <c r="A60" s="42">
        <v>45</v>
      </c>
      <c r="B60" s="43" t="s">
        <v>79</v>
      </c>
      <c r="C60" s="45"/>
      <c r="D60" s="38"/>
      <c r="E60" s="31"/>
      <c r="F60" s="25"/>
      <c r="G60" s="31"/>
      <c r="H60" s="31"/>
      <c r="I60" s="31"/>
      <c r="J60" s="25"/>
      <c r="K60" s="25"/>
      <c r="L60" s="25"/>
      <c r="M60" s="25"/>
      <c r="N60" s="25"/>
      <c r="O60" s="31"/>
      <c r="P60" s="31"/>
      <c r="Q60" s="20"/>
      <c r="R60" s="20"/>
      <c r="S60" s="20"/>
      <c r="T60" s="25"/>
      <c r="U60" s="25"/>
      <c r="V60" s="31"/>
      <c r="W60" s="31"/>
      <c r="X60" s="31"/>
      <c r="Y60" s="25"/>
      <c r="Z60" s="25"/>
      <c r="AA60" s="25"/>
      <c r="AB60" s="25"/>
      <c r="AC60" s="31"/>
      <c r="AD60" s="31"/>
      <c r="AE60" s="20"/>
      <c r="AF60" s="20"/>
      <c r="AG60" s="41">
        <f>(AG$16)-AJ60-AP60</f>
        <v>20</v>
      </c>
      <c r="AH60" s="41">
        <f t="shared" si="12"/>
        <v>0</v>
      </c>
      <c r="AI60" s="41">
        <f t="shared" si="13"/>
        <v>0</v>
      </c>
      <c r="AJ60" s="41">
        <f t="shared" si="14"/>
        <v>0</v>
      </c>
      <c r="AK60" s="41">
        <f t="shared" si="15"/>
        <v>0</v>
      </c>
      <c r="AL60" s="41">
        <f t="shared" si="16"/>
        <v>0</v>
      </c>
      <c r="AM60" s="41">
        <f t="shared" si="17"/>
        <v>0</v>
      </c>
      <c r="AN60" s="41">
        <f t="shared" si="18"/>
        <v>0</v>
      </c>
      <c r="AO60" s="41">
        <f t="shared" si="19"/>
        <v>0</v>
      </c>
      <c r="AP60" s="41">
        <f>COUNTIF(C60:AF60,"A")</f>
        <v>0</v>
      </c>
      <c r="AQ60" s="35" t="e">
        <f>((AG60*2)+((AH60+AI60)*-1)+(AJ60*-1)+(AP60*-3))+(#REF!*-0.5)</f>
        <v>#REF!</v>
      </c>
      <c r="AR60" s="35">
        <f t="shared" si="20"/>
        <v>40</v>
      </c>
      <c r="AS60" s="35" t="e">
        <f t="shared" si="9"/>
        <v>#REF!</v>
      </c>
      <c r="AT60" s="35" t="e">
        <f t="shared" si="10"/>
        <v>#REF!</v>
      </c>
      <c r="AU60" s="36" t="e">
        <f t="shared" si="11"/>
        <v>#REF!</v>
      </c>
    </row>
    <row r="61" spans="1:47" x14ac:dyDescent="0.3">
      <c r="A61" s="9">
        <v>46</v>
      </c>
      <c r="B61" s="43" t="s">
        <v>80</v>
      </c>
      <c r="C61" s="45"/>
      <c r="D61" s="38"/>
      <c r="E61" s="31"/>
      <c r="F61" s="25"/>
      <c r="G61" s="31"/>
      <c r="H61" s="46"/>
      <c r="I61" s="46"/>
      <c r="J61" s="25"/>
      <c r="K61" s="25"/>
      <c r="L61" s="25"/>
      <c r="M61" s="25"/>
      <c r="N61" s="25"/>
      <c r="O61" s="46"/>
      <c r="P61" s="46"/>
      <c r="Q61" s="20"/>
      <c r="R61" s="20"/>
      <c r="S61" s="20"/>
      <c r="T61" s="25"/>
      <c r="U61" s="25"/>
      <c r="V61" s="46"/>
      <c r="W61" s="46"/>
      <c r="X61" s="31"/>
      <c r="Y61" s="25"/>
      <c r="Z61" s="25"/>
      <c r="AA61" s="25"/>
      <c r="AB61" s="25"/>
      <c r="AC61" s="46"/>
      <c r="AD61" s="46"/>
      <c r="AE61" s="20"/>
      <c r="AF61" s="20"/>
      <c r="AG61" s="41">
        <f>(AG$16)-AJ61-AP61</f>
        <v>20</v>
      </c>
      <c r="AH61" s="41">
        <f t="shared" si="12"/>
        <v>0</v>
      </c>
      <c r="AI61" s="41">
        <f t="shared" si="13"/>
        <v>0</v>
      </c>
      <c r="AJ61" s="41">
        <f t="shared" si="14"/>
        <v>0</v>
      </c>
      <c r="AK61" s="41">
        <f t="shared" si="15"/>
        <v>0</v>
      </c>
      <c r="AL61" s="41">
        <f t="shared" si="16"/>
        <v>0</v>
      </c>
      <c r="AM61" s="41">
        <f t="shared" si="17"/>
        <v>0</v>
      </c>
      <c r="AN61" s="41">
        <f t="shared" si="18"/>
        <v>0</v>
      </c>
      <c r="AO61" s="41">
        <f t="shared" si="19"/>
        <v>0</v>
      </c>
      <c r="AP61" s="41">
        <f>COUNTIF(C61:AF61,"A")</f>
        <v>0</v>
      </c>
      <c r="AQ61" s="35" t="e">
        <f>((AG61*2)+((AH61+AI61)*-1)+(AJ61*-1)+(AP61*-3))+(#REF!*-0.5)</f>
        <v>#REF!</v>
      </c>
      <c r="AR61" s="35">
        <f t="shared" si="20"/>
        <v>40</v>
      </c>
      <c r="AS61" s="35" t="e">
        <f t="shared" si="9"/>
        <v>#REF!</v>
      </c>
      <c r="AT61" s="35" t="e">
        <f t="shared" si="10"/>
        <v>#REF!</v>
      </c>
      <c r="AU61" s="36" t="e">
        <f t="shared" si="11"/>
        <v>#REF!</v>
      </c>
    </row>
    <row r="62" spans="1:47" x14ac:dyDescent="0.3">
      <c r="A62" s="42">
        <v>47</v>
      </c>
      <c r="B62" s="56" t="s">
        <v>81</v>
      </c>
      <c r="C62" s="45"/>
      <c r="D62" s="38"/>
      <c r="E62" s="31"/>
      <c r="F62" s="25"/>
      <c r="G62" s="31"/>
      <c r="H62" s="46"/>
      <c r="I62" s="46"/>
      <c r="J62" s="25"/>
      <c r="K62" s="25"/>
      <c r="L62" s="25"/>
      <c r="M62" s="25"/>
      <c r="N62" s="25"/>
      <c r="O62" s="46"/>
      <c r="P62" s="46"/>
      <c r="Q62" s="20"/>
      <c r="R62" s="20"/>
      <c r="S62" s="20"/>
      <c r="T62" s="25"/>
      <c r="U62" s="25"/>
      <c r="V62" s="46"/>
      <c r="W62" s="46"/>
      <c r="X62" s="31"/>
      <c r="Y62" s="25"/>
      <c r="Z62" s="25"/>
      <c r="AA62" s="25"/>
      <c r="AB62" s="25"/>
      <c r="AC62" s="46"/>
      <c r="AD62" s="46"/>
      <c r="AE62" s="20"/>
      <c r="AF62" s="20"/>
      <c r="AG62" s="41">
        <f>(AG$16)-AJ62-AP62</f>
        <v>20</v>
      </c>
      <c r="AH62" s="41">
        <f t="shared" si="12"/>
        <v>0</v>
      </c>
      <c r="AI62" s="41">
        <f t="shared" si="13"/>
        <v>0</v>
      </c>
      <c r="AJ62" s="41">
        <f t="shared" si="14"/>
        <v>0</v>
      </c>
      <c r="AK62" s="41">
        <f t="shared" si="15"/>
        <v>0</v>
      </c>
      <c r="AL62" s="41">
        <f t="shared" si="16"/>
        <v>0</v>
      </c>
      <c r="AM62" s="41">
        <f t="shared" si="17"/>
        <v>0</v>
      </c>
      <c r="AN62" s="41">
        <f t="shared" si="18"/>
        <v>0</v>
      </c>
      <c r="AO62" s="41">
        <f t="shared" si="19"/>
        <v>0</v>
      </c>
      <c r="AP62" s="41">
        <f>COUNTIF(C62:AF62,"A")</f>
        <v>0</v>
      </c>
      <c r="AQ62" s="35" t="e">
        <f>((AG62*2)+((AH62+AI62)*-1)+(AJ62*-1)+(AP62*-3))+(#REF!*-0.5)</f>
        <v>#REF!</v>
      </c>
      <c r="AR62" s="35">
        <f t="shared" si="20"/>
        <v>40</v>
      </c>
      <c r="AS62" s="35" t="e">
        <f t="shared" si="9"/>
        <v>#REF!</v>
      </c>
      <c r="AT62" s="35" t="e">
        <f t="shared" si="10"/>
        <v>#REF!</v>
      </c>
      <c r="AU62" s="36" t="e">
        <f t="shared" si="11"/>
        <v>#REF!</v>
      </c>
    </row>
    <row r="63" spans="1:47" x14ac:dyDescent="0.3">
      <c r="A63" s="42">
        <v>48</v>
      </c>
      <c r="B63" s="43" t="s">
        <v>82</v>
      </c>
      <c r="C63" s="45"/>
      <c r="D63" s="38"/>
      <c r="E63" s="31"/>
      <c r="F63" s="25"/>
      <c r="G63" s="31"/>
      <c r="H63" s="46"/>
      <c r="I63" s="46"/>
      <c r="J63" s="25"/>
      <c r="K63" s="25"/>
      <c r="L63" s="25"/>
      <c r="M63" s="25"/>
      <c r="N63" s="25"/>
      <c r="O63" s="46"/>
      <c r="P63" s="46"/>
      <c r="Q63" s="20"/>
      <c r="R63" s="20"/>
      <c r="S63" s="20"/>
      <c r="T63" s="25"/>
      <c r="U63" s="25"/>
      <c r="V63" s="46"/>
      <c r="W63" s="46"/>
      <c r="X63" s="31"/>
      <c r="Y63" s="25"/>
      <c r="Z63" s="25"/>
      <c r="AA63" s="25"/>
      <c r="AB63" s="25"/>
      <c r="AC63" s="46"/>
      <c r="AD63" s="46"/>
      <c r="AE63" s="20"/>
      <c r="AF63" s="20"/>
      <c r="AG63" s="41">
        <f>(AG$16)-AJ63-AP63</f>
        <v>20</v>
      </c>
      <c r="AH63" s="41">
        <f t="shared" si="12"/>
        <v>0</v>
      </c>
      <c r="AI63" s="41">
        <f t="shared" si="13"/>
        <v>0</v>
      </c>
      <c r="AJ63" s="41">
        <f t="shared" si="14"/>
        <v>0</v>
      </c>
      <c r="AK63" s="41">
        <f t="shared" si="15"/>
        <v>0</v>
      </c>
      <c r="AL63" s="41">
        <f t="shared" si="16"/>
        <v>0</v>
      </c>
      <c r="AM63" s="41">
        <f t="shared" si="17"/>
        <v>0</v>
      </c>
      <c r="AN63" s="41">
        <f t="shared" si="18"/>
        <v>0</v>
      </c>
      <c r="AO63" s="41">
        <f t="shared" si="19"/>
        <v>0</v>
      </c>
      <c r="AP63" s="41">
        <f>COUNTIF(C63:AF63,"A")</f>
        <v>0</v>
      </c>
      <c r="AQ63" s="35" t="e">
        <f>((AG63*2)+((AH63+AI63)*-1)+(AJ63*-1)+(AP63*-3))+(#REF!*-0.5)</f>
        <v>#REF!</v>
      </c>
      <c r="AR63" s="35">
        <f t="shared" si="20"/>
        <v>40</v>
      </c>
      <c r="AS63" s="35" t="e">
        <f t="shared" si="9"/>
        <v>#REF!</v>
      </c>
      <c r="AT63" s="35" t="e">
        <f t="shared" si="10"/>
        <v>#REF!</v>
      </c>
      <c r="AU63" s="36" t="e">
        <f t="shared" si="11"/>
        <v>#REF!</v>
      </c>
    </row>
    <row r="64" spans="1:47" x14ac:dyDescent="0.3">
      <c r="A64" s="42">
        <v>49</v>
      </c>
      <c r="B64" s="43" t="s">
        <v>83</v>
      </c>
      <c r="C64" s="45"/>
      <c r="D64" s="38"/>
      <c r="E64" s="31"/>
      <c r="F64" s="25"/>
      <c r="G64" s="31"/>
      <c r="H64" s="46"/>
      <c r="I64" s="52"/>
      <c r="J64" s="25"/>
      <c r="K64" s="25"/>
      <c r="L64" s="25"/>
      <c r="M64" s="25"/>
      <c r="N64" s="25"/>
      <c r="O64" s="46"/>
      <c r="P64" s="52"/>
      <c r="Q64" s="20"/>
      <c r="R64" s="20"/>
      <c r="S64" s="20"/>
      <c r="T64" s="25"/>
      <c r="U64" s="25"/>
      <c r="V64" s="46"/>
      <c r="W64" s="52"/>
      <c r="X64" s="31"/>
      <c r="Y64" s="25"/>
      <c r="Z64" s="25"/>
      <c r="AA64" s="25"/>
      <c r="AB64" s="25"/>
      <c r="AC64" s="46"/>
      <c r="AD64" s="52"/>
      <c r="AE64" s="20"/>
      <c r="AF64" s="20"/>
      <c r="AG64" s="41">
        <f>(AG$16)-AJ64-AP64</f>
        <v>20</v>
      </c>
      <c r="AH64" s="41">
        <f t="shared" si="12"/>
        <v>0</v>
      </c>
      <c r="AI64" s="41">
        <f t="shared" si="13"/>
        <v>0</v>
      </c>
      <c r="AJ64" s="41">
        <f t="shared" si="14"/>
        <v>0</v>
      </c>
      <c r="AK64" s="41">
        <f t="shared" si="15"/>
        <v>0</v>
      </c>
      <c r="AL64" s="41">
        <f t="shared" si="16"/>
        <v>0</v>
      </c>
      <c r="AM64" s="41">
        <f t="shared" si="17"/>
        <v>0</v>
      </c>
      <c r="AN64" s="41">
        <f t="shared" si="18"/>
        <v>0</v>
      </c>
      <c r="AO64" s="41">
        <f t="shared" si="19"/>
        <v>0</v>
      </c>
      <c r="AP64" s="41">
        <f>COUNTIF(C64:AF64,"A")</f>
        <v>0</v>
      </c>
      <c r="AQ64" s="35" t="e">
        <f>((AG64*2)+((AH64+AI64)*-1)+(AJ64*-1)+(AP64*-3))+(#REF!*-0.5)</f>
        <v>#REF!</v>
      </c>
      <c r="AR64" s="35">
        <f t="shared" si="20"/>
        <v>40</v>
      </c>
      <c r="AS64" s="35" t="e">
        <f t="shared" si="9"/>
        <v>#REF!</v>
      </c>
      <c r="AT64" s="35" t="e">
        <f t="shared" si="10"/>
        <v>#REF!</v>
      </c>
      <c r="AU64" s="36" t="e">
        <f t="shared" si="11"/>
        <v>#REF!</v>
      </c>
    </row>
    <row r="65" spans="1:47" x14ac:dyDescent="0.3">
      <c r="A65" s="42">
        <v>50</v>
      </c>
      <c r="B65" s="43" t="s">
        <v>84</v>
      </c>
      <c r="C65" s="45"/>
      <c r="D65" s="38"/>
      <c r="E65" s="31"/>
      <c r="F65" s="25"/>
      <c r="G65" s="31"/>
      <c r="H65" s="46"/>
      <c r="I65" s="46"/>
      <c r="J65" s="25"/>
      <c r="K65" s="25"/>
      <c r="L65" s="25"/>
      <c r="M65" s="25"/>
      <c r="N65" s="25"/>
      <c r="O65" s="46"/>
      <c r="P65" s="46"/>
      <c r="Q65" s="20"/>
      <c r="R65" s="20"/>
      <c r="S65" s="20"/>
      <c r="T65" s="25"/>
      <c r="U65" s="25"/>
      <c r="V65" s="46"/>
      <c r="W65" s="46"/>
      <c r="X65" s="31"/>
      <c r="Y65" s="25"/>
      <c r="Z65" s="25"/>
      <c r="AA65" s="25"/>
      <c r="AB65" s="25"/>
      <c r="AC65" s="46"/>
      <c r="AD65" s="46"/>
      <c r="AE65" s="20"/>
      <c r="AF65" s="20"/>
      <c r="AG65" s="41">
        <f>(AG$16)-AJ65-AP65</f>
        <v>20</v>
      </c>
      <c r="AH65" s="41">
        <f t="shared" si="12"/>
        <v>0</v>
      </c>
      <c r="AI65" s="41">
        <f t="shared" si="13"/>
        <v>0</v>
      </c>
      <c r="AJ65" s="41">
        <f t="shared" si="14"/>
        <v>0</v>
      </c>
      <c r="AK65" s="41">
        <f t="shared" si="15"/>
        <v>0</v>
      </c>
      <c r="AL65" s="41">
        <f t="shared" si="16"/>
        <v>0</v>
      </c>
      <c r="AM65" s="41">
        <f t="shared" si="17"/>
        <v>0</v>
      </c>
      <c r="AN65" s="41">
        <f t="shared" si="18"/>
        <v>0</v>
      </c>
      <c r="AO65" s="41">
        <f t="shared" si="19"/>
        <v>0</v>
      </c>
      <c r="AP65" s="41">
        <f>COUNTIF(C65:AF65,"A")</f>
        <v>0</v>
      </c>
      <c r="AQ65" s="35" t="e">
        <f>((AG65*2)+((AH65+AI65)*-1)+(AJ65*-1)+(AP65*-3))+(#REF!*-0.5)</f>
        <v>#REF!</v>
      </c>
      <c r="AR65" s="35">
        <f t="shared" si="20"/>
        <v>40</v>
      </c>
      <c r="AS65" s="35" t="e">
        <f t="shared" si="9"/>
        <v>#REF!</v>
      </c>
      <c r="AT65" s="35" t="e">
        <f t="shared" si="10"/>
        <v>#REF!</v>
      </c>
      <c r="AU65" s="36" t="e">
        <f t="shared" si="11"/>
        <v>#REF!</v>
      </c>
    </row>
    <row r="66" spans="1:47" x14ac:dyDescent="0.3">
      <c r="A66" s="42">
        <v>51</v>
      </c>
      <c r="B66" s="43" t="s">
        <v>85</v>
      </c>
      <c r="C66" s="45"/>
      <c r="D66" s="38"/>
      <c r="E66" s="31"/>
      <c r="F66" s="25"/>
      <c r="G66" s="31"/>
      <c r="H66" s="25"/>
      <c r="I66" s="25"/>
      <c r="J66" s="25"/>
      <c r="K66" s="25"/>
      <c r="L66" s="25"/>
      <c r="M66" s="25"/>
      <c r="N66" s="25"/>
      <c r="O66" s="25"/>
      <c r="P66" s="25"/>
      <c r="Q66" s="20"/>
      <c r="R66" s="20"/>
      <c r="S66" s="20"/>
      <c r="T66" s="25"/>
      <c r="U66" s="25"/>
      <c r="V66" s="25"/>
      <c r="W66" s="25"/>
      <c r="X66" s="31"/>
      <c r="Y66" s="25"/>
      <c r="Z66" s="25"/>
      <c r="AA66" s="25"/>
      <c r="AB66" s="25"/>
      <c r="AC66" s="25"/>
      <c r="AD66" s="25"/>
      <c r="AE66" s="20"/>
      <c r="AF66" s="20"/>
      <c r="AG66" s="41">
        <f>(AG$16)-AJ66-AP66</f>
        <v>20</v>
      </c>
      <c r="AH66" s="41">
        <f t="shared" si="12"/>
        <v>0</v>
      </c>
      <c r="AI66" s="41">
        <f t="shared" si="13"/>
        <v>0</v>
      </c>
      <c r="AJ66" s="41">
        <f t="shared" si="14"/>
        <v>0</v>
      </c>
      <c r="AK66" s="41">
        <f t="shared" si="15"/>
        <v>0</v>
      </c>
      <c r="AL66" s="41">
        <f t="shared" si="16"/>
        <v>0</v>
      </c>
      <c r="AM66" s="41">
        <f t="shared" si="17"/>
        <v>0</v>
      </c>
      <c r="AN66" s="41">
        <f t="shared" si="18"/>
        <v>0</v>
      </c>
      <c r="AO66" s="41">
        <f t="shared" si="19"/>
        <v>0</v>
      </c>
      <c r="AP66" s="41">
        <f>COUNTIF(C66:AF66,"A")</f>
        <v>0</v>
      </c>
      <c r="AQ66" s="35" t="e">
        <f>((AG66*2)+((AH66+AI66)*-1)+(AJ66*-1)+(AP66*-3))+(#REF!*-0.5)</f>
        <v>#REF!</v>
      </c>
      <c r="AR66" s="35">
        <f t="shared" si="20"/>
        <v>40</v>
      </c>
      <c r="AS66" s="35" t="e">
        <f t="shared" si="9"/>
        <v>#REF!</v>
      </c>
      <c r="AT66" s="35" t="e">
        <f t="shared" si="10"/>
        <v>#REF!</v>
      </c>
      <c r="AU66" s="36" t="e">
        <f t="shared" si="11"/>
        <v>#REF!</v>
      </c>
    </row>
    <row r="67" spans="1:47" x14ac:dyDescent="0.3">
      <c r="A67" s="42">
        <v>52</v>
      </c>
      <c r="B67" s="43" t="s">
        <v>86</v>
      </c>
      <c r="C67" s="45"/>
      <c r="D67" s="38"/>
      <c r="E67" s="31"/>
      <c r="F67" s="25"/>
      <c r="G67" s="31"/>
      <c r="H67" s="30"/>
      <c r="I67" s="30"/>
      <c r="J67" s="25"/>
      <c r="K67" s="25"/>
      <c r="L67" s="25"/>
      <c r="M67" s="25"/>
      <c r="N67" s="25"/>
      <c r="O67" s="30"/>
      <c r="P67" s="30"/>
      <c r="Q67" s="20"/>
      <c r="R67" s="20"/>
      <c r="S67" s="20"/>
      <c r="T67" s="25"/>
      <c r="U67" s="25"/>
      <c r="V67" s="30"/>
      <c r="W67" s="30"/>
      <c r="X67" s="31"/>
      <c r="Y67" s="25"/>
      <c r="Z67" s="25"/>
      <c r="AA67" s="25"/>
      <c r="AB67" s="25"/>
      <c r="AC67" s="30"/>
      <c r="AD67" s="30"/>
      <c r="AE67" s="20"/>
      <c r="AF67" s="20"/>
      <c r="AG67" s="41">
        <f>(AG$16)-AJ67-AP67</f>
        <v>20</v>
      </c>
      <c r="AH67" s="41">
        <f t="shared" si="12"/>
        <v>0</v>
      </c>
      <c r="AI67" s="41">
        <f t="shared" si="13"/>
        <v>0</v>
      </c>
      <c r="AJ67" s="41">
        <f t="shared" si="14"/>
        <v>0</v>
      </c>
      <c r="AK67" s="41">
        <f t="shared" si="15"/>
        <v>0</v>
      </c>
      <c r="AL67" s="41">
        <f t="shared" si="16"/>
        <v>0</v>
      </c>
      <c r="AM67" s="41">
        <f t="shared" si="17"/>
        <v>0</v>
      </c>
      <c r="AN67" s="41">
        <f t="shared" si="18"/>
        <v>0</v>
      </c>
      <c r="AO67" s="41">
        <f t="shared" si="19"/>
        <v>0</v>
      </c>
      <c r="AP67" s="41">
        <f>COUNTIF(C67:AF67,"A")</f>
        <v>0</v>
      </c>
      <c r="AQ67" s="35" t="e">
        <f>((AG67*2)+((AH67+AI67)*-1)+(AJ67*-1)+(AP67*-3))+(#REF!*-0.5)</f>
        <v>#REF!</v>
      </c>
      <c r="AR67" s="35">
        <f t="shared" si="20"/>
        <v>40</v>
      </c>
      <c r="AS67" s="35" t="e">
        <f t="shared" si="9"/>
        <v>#REF!</v>
      </c>
      <c r="AT67" s="35" t="e">
        <f t="shared" si="10"/>
        <v>#REF!</v>
      </c>
      <c r="AU67" s="36" t="e">
        <f t="shared" si="11"/>
        <v>#REF!</v>
      </c>
    </row>
    <row r="68" spans="1:47" x14ac:dyDescent="0.3">
      <c r="A68" s="42">
        <v>53</v>
      </c>
      <c r="B68" s="43" t="s">
        <v>87</v>
      </c>
      <c r="C68" s="45"/>
      <c r="D68" s="38"/>
      <c r="E68" s="31"/>
      <c r="F68" s="25"/>
      <c r="G68" s="31"/>
      <c r="H68" s="39"/>
      <c r="I68" s="39"/>
      <c r="J68" s="25"/>
      <c r="K68" s="25"/>
      <c r="L68" s="25"/>
      <c r="M68" s="25"/>
      <c r="N68" s="25"/>
      <c r="O68" s="39"/>
      <c r="P68" s="39"/>
      <c r="Q68" s="20"/>
      <c r="R68" s="20"/>
      <c r="S68" s="20"/>
      <c r="T68" s="25"/>
      <c r="U68" s="25"/>
      <c r="V68" s="39"/>
      <c r="W68" s="39"/>
      <c r="X68" s="31"/>
      <c r="Y68" s="25"/>
      <c r="Z68" s="25"/>
      <c r="AA68" s="25"/>
      <c r="AB68" s="25"/>
      <c r="AC68" s="57"/>
      <c r="AD68" s="58"/>
      <c r="AE68" s="20"/>
      <c r="AF68" s="20"/>
      <c r="AG68" s="41">
        <f>(AG$16)-AJ68-AP68</f>
        <v>20</v>
      </c>
      <c r="AH68" s="41">
        <f t="shared" si="12"/>
        <v>0</v>
      </c>
      <c r="AI68" s="41">
        <f t="shared" si="13"/>
        <v>0</v>
      </c>
      <c r="AJ68" s="41">
        <f t="shared" si="14"/>
        <v>0</v>
      </c>
      <c r="AK68" s="41">
        <f t="shared" si="15"/>
        <v>0</v>
      </c>
      <c r="AL68" s="41">
        <f t="shared" si="16"/>
        <v>0</v>
      </c>
      <c r="AM68" s="41">
        <f t="shared" si="17"/>
        <v>0</v>
      </c>
      <c r="AN68" s="41">
        <f t="shared" si="18"/>
        <v>0</v>
      </c>
      <c r="AO68" s="41">
        <f t="shared" si="19"/>
        <v>0</v>
      </c>
      <c r="AP68" s="41">
        <f>COUNTIF(C68:AF68,"A")</f>
        <v>0</v>
      </c>
      <c r="AQ68" s="35" t="e">
        <f>((AG68*2)+((AH68+AI68)*-1)+(AJ68*-1)+(AP68*-3))+(#REF!*-0.5)</f>
        <v>#REF!</v>
      </c>
      <c r="AR68" s="35">
        <f t="shared" si="20"/>
        <v>40</v>
      </c>
      <c r="AS68" s="35" t="e">
        <f t="shared" si="9"/>
        <v>#REF!</v>
      </c>
      <c r="AT68" s="35" t="e">
        <f t="shared" si="10"/>
        <v>#REF!</v>
      </c>
      <c r="AU68" s="36" t="e">
        <f t="shared" si="11"/>
        <v>#REF!</v>
      </c>
    </row>
    <row r="69" spans="1:47" x14ac:dyDescent="0.3">
      <c r="A69" s="9">
        <v>54</v>
      </c>
      <c r="B69" s="43" t="s">
        <v>88</v>
      </c>
      <c r="C69" s="45"/>
      <c r="D69" s="38"/>
      <c r="E69" s="31"/>
      <c r="F69" s="25"/>
      <c r="G69" s="31"/>
      <c r="H69" s="39"/>
      <c r="I69" s="39"/>
      <c r="J69" s="25"/>
      <c r="K69" s="25"/>
      <c r="L69" s="25"/>
      <c r="M69" s="25"/>
      <c r="N69" s="25"/>
      <c r="O69" s="39"/>
      <c r="P69" s="39"/>
      <c r="Q69" s="20"/>
      <c r="R69" s="20"/>
      <c r="S69" s="20"/>
      <c r="T69" s="25"/>
      <c r="U69" s="25"/>
      <c r="V69" s="39"/>
      <c r="W69" s="39"/>
      <c r="X69" s="31"/>
      <c r="Y69" s="25"/>
      <c r="Z69" s="25"/>
      <c r="AA69" s="25"/>
      <c r="AB69" s="25"/>
      <c r="AC69" s="57"/>
      <c r="AD69" s="39"/>
      <c r="AE69" s="20"/>
      <c r="AF69" s="20"/>
      <c r="AG69" s="41">
        <f>(AG$16)-AJ69-AP69</f>
        <v>20</v>
      </c>
      <c r="AH69" s="41">
        <f t="shared" si="12"/>
        <v>0</v>
      </c>
      <c r="AI69" s="41">
        <f t="shared" si="13"/>
        <v>0</v>
      </c>
      <c r="AJ69" s="41">
        <f t="shared" si="14"/>
        <v>0</v>
      </c>
      <c r="AK69" s="41">
        <f t="shared" si="15"/>
        <v>0</v>
      </c>
      <c r="AL69" s="41">
        <f t="shared" si="16"/>
        <v>0</v>
      </c>
      <c r="AM69" s="41">
        <f t="shared" si="17"/>
        <v>0</v>
      </c>
      <c r="AN69" s="41">
        <f t="shared" si="18"/>
        <v>0</v>
      </c>
      <c r="AO69" s="41">
        <f t="shared" si="19"/>
        <v>0</v>
      </c>
      <c r="AP69" s="41">
        <f>COUNTIF(C69:AF69,"A")</f>
        <v>0</v>
      </c>
      <c r="AQ69" s="35" t="e">
        <f>((AG69*2)+((AH69+AI69)*-1)+(AJ69*-1)+(AP69*-3))+(#REF!*-0.5)</f>
        <v>#REF!</v>
      </c>
      <c r="AR69" s="35">
        <f t="shared" si="20"/>
        <v>40</v>
      </c>
      <c r="AS69" s="35" t="e">
        <f t="shared" si="9"/>
        <v>#REF!</v>
      </c>
      <c r="AT69" s="35" t="e">
        <f t="shared" si="10"/>
        <v>#REF!</v>
      </c>
      <c r="AU69" s="36" t="e">
        <f t="shared" si="11"/>
        <v>#REF!</v>
      </c>
    </row>
    <row r="70" spans="1:47" x14ac:dyDescent="0.3">
      <c r="A70" s="9">
        <v>55</v>
      </c>
      <c r="B70" s="44" t="s">
        <v>89</v>
      </c>
      <c r="C70" s="45"/>
      <c r="D70" s="38"/>
      <c r="E70" s="31"/>
      <c r="F70" s="25"/>
      <c r="G70" s="31"/>
      <c r="H70" s="39"/>
      <c r="I70" s="39"/>
      <c r="J70" s="25"/>
      <c r="K70" s="25"/>
      <c r="L70" s="25"/>
      <c r="M70" s="25"/>
      <c r="N70" s="25"/>
      <c r="O70" s="39"/>
      <c r="P70" s="39"/>
      <c r="Q70" s="20"/>
      <c r="R70" s="20"/>
      <c r="S70" s="20"/>
      <c r="T70" s="25"/>
      <c r="U70" s="25"/>
      <c r="V70" s="39"/>
      <c r="W70" s="39"/>
      <c r="X70" s="31"/>
      <c r="Y70" s="25"/>
      <c r="Z70" s="25"/>
      <c r="AA70" s="25"/>
      <c r="AB70" s="25"/>
      <c r="AC70" s="39"/>
      <c r="AD70" s="39"/>
      <c r="AE70" s="20"/>
      <c r="AF70" s="20"/>
      <c r="AG70" s="41">
        <f>(AG$16)-AJ70-AP70</f>
        <v>20</v>
      </c>
      <c r="AH70" s="41">
        <f t="shared" si="12"/>
        <v>0</v>
      </c>
      <c r="AI70" s="41">
        <f t="shared" si="13"/>
        <v>0</v>
      </c>
      <c r="AJ70" s="41">
        <f t="shared" si="14"/>
        <v>0</v>
      </c>
      <c r="AK70" s="41">
        <f t="shared" si="15"/>
        <v>0</v>
      </c>
      <c r="AL70" s="41">
        <f t="shared" si="16"/>
        <v>0</v>
      </c>
      <c r="AM70" s="41">
        <f t="shared" si="17"/>
        <v>0</v>
      </c>
      <c r="AN70" s="41">
        <f t="shared" si="18"/>
        <v>0</v>
      </c>
      <c r="AO70" s="41">
        <f t="shared" si="19"/>
        <v>0</v>
      </c>
      <c r="AP70" s="41">
        <f>COUNTIF(C70:AF70,"A")</f>
        <v>0</v>
      </c>
      <c r="AQ70" s="35" t="e">
        <f>((AG70*2)+((AH70+AI70)*-1)+(AJ70*-1)+(AP70*-3))+(#REF!*-0.5)</f>
        <v>#REF!</v>
      </c>
      <c r="AR70" s="35">
        <f t="shared" si="20"/>
        <v>40</v>
      </c>
      <c r="AS70" s="35" t="e">
        <f>AQ70/AR70*100</f>
        <v>#REF!</v>
      </c>
      <c r="AT70" s="35" t="e">
        <f>IF(AS70=100,$AZ$14,IF(AND(AS70&lt;100,AS70&gt;89),$AZ$15,IF(AND(AS70&lt;90,AS70&gt;79),$AZ$16,IF(AND(AS70&lt;80,AS70&gt;64),$BD$14,IF(AND(AS70&lt;65,AS70&gt;=50),$BD$15,$BD$16)))))</f>
        <v>#REF!</v>
      </c>
      <c r="AU70" s="36" t="e">
        <f>AT70*0.2</f>
        <v>#REF!</v>
      </c>
    </row>
    <row r="71" spans="1:47" x14ac:dyDescent="0.3">
      <c r="A71" s="9">
        <v>57</v>
      </c>
      <c r="B71" s="43" t="s">
        <v>90</v>
      </c>
      <c r="C71" s="45"/>
      <c r="D71" s="38"/>
      <c r="E71" s="31"/>
      <c r="F71" s="25"/>
      <c r="G71" s="31"/>
      <c r="H71" s="39"/>
      <c r="I71" s="39"/>
      <c r="J71" s="25"/>
      <c r="K71" s="25"/>
      <c r="L71" s="25"/>
      <c r="M71" s="25"/>
      <c r="N71" s="25"/>
      <c r="O71" s="39"/>
      <c r="P71" s="39"/>
      <c r="Q71" s="20"/>
      <c r="R71" s="20"/>
      <c r="S71" s="20"/>
      <c r="T71" s="25"/>
      <c r="U71" s="25"/>
      <c r="V71" s="39"/>
      <c r="W71" s="39"/>
      <c r="X71" s="31"/>
      <c r="Y71" s="25"/>
      <c r="Z71" s="25"/>
      <c r="AA71" s="25"/>
      <c r="AB71" s="25"/>
      <c r="AC71" s="57"/>
      <c r="AD71" s="58"/>
      <c r="AE71" s="20"/>
      <c r="AF71" s="20"/>
      <c r="AG71" s="41">
        <f>(AG$16)-AJ71-AP71</f>
        <v>20</v>
      </c>
      <c r="AH71" s="41">
        <f t="shared" si="12"/>
        <v>0</v>
      </c>
      <c r="AI71" s="41">
        <f t="shared" si="13"/>
        <v>0</v>
      </c>
      <c r="AJ71" s="41">
        <f t="shared" si="14"/>
        <v>0</v>
      </c>
      <c r="AK71" s="41">
        <f t="shared" si="15"/>
        <v>0</v>
      </c>
      <c r="AL71" s="41">
        <f t="shared" si="16"/>
        <v>0</v>
      </c>
      <c r="AM71" s="41">
        <f t="shared" si="17"/>
        <v>0</v>
      </c>
      <c r="AN71" s="41">
        <f t="shared" si="18"/>
        <v>0</v>
      </c>
      <c r="AO71" s="41">
        <f t="shared" si="19"/>
        <v>0</v>
      </c>
      <c r="AP71" s="41">
        <f>COUNTIF(C71:AF71,"A")</f>
        <v>0</v>
      </c>
      <c r="AQ71" s="35" t="e">
        <f>((AG71*2)+((AH71+AI71)*-1)+(AJ71*-1)+(AP71*-3))+(#REF!*-0.5)</f>
        <v>#REF!</v>
      </c>
      <c r="AR71" s="35">
        <f t="shared" si="20"/>
        <v>40</v>
      </c>
      <c r="AS71" s="35" t="e">
        <f t="shared" si="9"/>
        <v>#REF!</v>
      </c>
      <c r="AT71" s="35" t="e">
        <f t="shared" si="10"/>
        <v>#REF!</v>
      </c>
      <c r="AU71" s="36" t="e">
        <f t="shared" si="11"/>
        <v>#REF!</v>
      </c>
    </row>
    <row r="72" spans="1:47" x14ac:dyDescent="0.3">
      <c r="A72" s="9">
        <v>58</v>
      </c>
      <c r="B72" s="44" t="s">
        <v>91</v>
      </c>
      <c r="C72" s="45"/>
      <c r="D72" s="38"/>
      <c r="E72" s="31"/>
      <c r="F72" s="25"/>
      <c r="G72" s="31"/>
      <c r="H72" s="39"/>
      <c r="I72" s="39"/>
      <c r="J72" s="25"/>
      <c r="K72" s="25"/>
      <c r="L72" s="25"/>
      <c r="M72" s="25"/>
      <c r="N72" s="25"/>
      <c r="O72" s="39"/>
      <c r="P72" s="39"/>
      <c r="Q72" s="20"/>
      <c r="R72" s="20"/>
      <c r="S72" s="20"/>
      <c r="T72" s="25"/>
      <c r="U72" s="25"/>
      <c r="V72" s="39"/>
      <c r="W72" s="39"/>
      <c r="X72" s="31"/>
      <c r="Y72" s="25"/>
      <c r="Z72" s="25"/>
      <c r="AA72" s="25"/>
      <c r="AB72" s="25"/>
      <c r="AC72" s="39"/>
      <c r="AD72" s="39"/>
      <c r="AE72" s="20"/>
      <c r="AF72" s="20"/>
      <c r="AG72" s="41">
        <f>(AG$16)-AJ72-AP72</f>
        <v>20</v>
      </c>
      <c r="AH72" s="41">
        <f t="shared" si="12"/>
        <v>0</v>
      </c>
      <c r="AI72" s="41">
        <f t="shared" si="13"/>
        <v>0</v>
      </c>
      <c r="AJ72" s="41">
        <f t="shared" si="14"/>
        <v>0</v>
      </c>
      <c r="AK72" s="41">
        <f t="shared" si="15"/>
        <v>0</v>
      </c>
      <c r="AL72" s="41">
        <f t="shared" si="16"/>
        <v>0</v>
      </c>
      <c r="AM72" s="41">
        <f t="shared" si="17"/>
        <v>0</v>
      </c>
      <c r="AN72" s="41">
        <f t="shared" si="18"/>
        <v>0</v>
      </c>
      <c r="AO72" s="41">
        <f t="shared" si="19"/>
        <v>0</v>
      </c>
      <c r="AP72" s="41">
        <f>COUNTIF(C72:AF72,"A")</f>
        <v>0</v>
      </c>
      <c r="AQ72" s="35" t="e">
        <f>((AG72*2)+((AH72+AI72)*-1)+(AJ72*-1)+(AP72*-3))+(#REF!*-0.5)</f>
        <v>#REF!</v>
      </c>
      <c r="AR72" s="35">
        <f t="shared" si="20"/>
        <v>40</v>
      </c>
      <c r="AS72" s="35" t="e">
        <f t="shared" si="9"/>
        <v>#REF!</v>
      </c>
      <c r="AT72" s="35" t="e">
        <f t="shared" si="10"/>
        <v>#REF!</v>
      </c>
      <c r="AU72" s="36" t="e">
        <f t="shared" si="11"/>
        <v>#REF!</v>
      </c>
    </row>
    <row r="73" spans="1:47" x14ac:dyDescent="0.3">
      <c r="A73" s="9">
        <v>60</v>
      </c>
      <c r="B73" s="44" t="s">
        <v>92</v>
      </c>
      <c r="C73" s="45"/>
      <c r="D73" s="38"/>
      <c r="E73" s="31"/>
      <c r="F73" s="25"/>
      <c r="G73" s="31"/>
      <c r="H73" s="39"/>
      <c r="I73" s="39"/>
      <c r="J73" s="25"/>
      <c r="K73" s="25"/>
      <c r="L73" s="25"/>
      <c r="M73" s="25"/>
      <c r="N73" s="25"/>
      <c r="O73" s="39"/>
      <c r="P73" s="39"/>
      <c r="Q73" s="20"/>
      <c r="R73" s="20"/>
      <c r="S73" s="20"/>
      <c r="T73" s="25"/>
      <c r="U73" s="25"/>
      <c r="V73" s="39"/>
      <c r="W73" s="39"/>
      <c r="X73" s="31"/>
      <c r="Y73" s="25"/>
      <c r="Z73" s="25"/>
      <c r="AA73" s="25"/>
      <c r="AB73" s="25"/>
      <c r="AC73" s="39"/>
      <c r="AD73" s="39"/>
      <c r="AE73" s="20"/>
      <c r="AF73" s="20"/>
      <c r="AG73" s="41">
        <f>(AG$16)-AJ73-AP73</f>
        <v>20</v>
      </c>
      <c r="AH73" s="41">
        <f>COUNTIF(C73:AF73,"HIP")+1</f>
        <v>1</v>
      </c>
      <c r="AI73" s="41">
        <f t="shared" si="13"/>
        <v>0</v>
      </c>
      <c r="AJ73" s="41">
        <f t="shared" si="14"/>
        <v>0</v>
      </c>
      <c r="AK73" s="41">
        <f t="shared" si="15"/>
        <v>0</v>
      </c>
      <c r="AL73" s="41">
        <f t="shared" si="16"/>
        <v>0</v>
      </c>
      <c r="AM73" s="41">
        <f t="shared" si="17"/>
        <v>0</v>
      </c>
      <c r="AN73" s="41">
        <f t="shared" si="18"/>
        <v>0</v>
      </c>
      <c r="AO73" s="41">
        <f t="shared" si="19"/>
        <v>0</v>
      </c>
      <c r="AP73" s="41">
        <f>COUNTIF(C73:AF73,"A")</f>
        <v>0</v>
      </c>
      <c r="AQ73" s="35" t="e">
        <f>((AG73*2)+((AH73+AI73)*-1)+(AJ73*-1)+(AP73*-3))+(#REF!*-0.5)</f>
        <v>#REF!</v>
      </c>
      <c r="AR73" s="35">
        <f t="shared" si="20"/>
        <v>40</v>
      </c>
      <c r="AS73" s="35" t="e">
        <f t="shared" si="9"/>
        <v>#REF!</v>
      </c>
      <c r="AT73" s="35" t="e">
        <f t="shared" si="10"/>
        <v>#REF!</v>
      </c>
      <c r="AU73" s="36" t="e">
        <f t="shared" si="11"/>
        <v>#REF!</v>
      </c>
    </row>
    <row r="74" spans="1:47" x14ac:dyDescent="0.3">
      <c r="A74" s="9">
        <v>61</v>
      </c>
      <c r="B74" s="44" t="s">
        <v>93</v>
      </c>
      <c r="C74" s="45"/>
      <c r="D74" s="38"/>
      <c r="E74" s="31"/>
      <c r="F74" s="25"/>
      <c r="G74" s="31"/>
      <c r="H74" s="39"/>
      <c r="I74" s="39"/>
      <c r="J74" s="25"/>
      <c r="K74" s="25"/>
      <c r="L74" s="25"/>
      <c r="M74" s="25"/>
      <c r="N74" s="25"/>
      <c r="O74" s="39"/>
      <c r="P74" s="39"/>
      <c r="Q74" s="20"/>
      <c r="R74" s="20"/>
      <c r="S74" s="20"/>
      <c r="T74" s="25"/>
      <c r="U74" s="25"/>
      <c r="V74" s="39"/>
      <c r="W74" s="39"/>
      <c r="X74" s="31"/>
      <c r="Y74" s="25"/>
      <c r="Z74" s="25"/>
      <c r="AA74" s="25"/>
      <c r="AB74" s="25"/>
      <c r="AC74" s="39"/>
      <c r="AD74" s="39"/>
      <c r="AE74" s="20"/>
      <c r="AF74" s="20"/>
      <c r="AG74" s="41">
        <f>(AG$16)-AJ74-AP74</f>
        <v>20</v>
      </c>
      <c r="AH74" s="41">
        <f>COUNTIF(C74:AF74,"HIP")+1</f>
        <v>1</v>
      </c>
      <c r="AI74" s="41">
        <f t="shared" si="13"/>
        <v>0</v>
      </c>
      <c r="AJ74" s="41">
        <f t="shared" si="14"/>
        <v>0</v>
      </c>
      <c r="AK74" s="41">
        <f t="shared" si="15"/>
        <v>0</v>
      </c>
      <c r="AL74" s="41">
        <f t="shared" si="16"/>
        <v>0</v>
      </c>
      <c r="AM74" s="41">
        <f t="shared" si="17"/>
        <v>0</v>
      </c>
      <c r="AN74" s="41">
        <f t="shared" si="18"/>
        <v>0</v>
      </c>
      <c r="AO74" s="41">
        <f t="shared" si="19"/>
        <v>0</v>
      </c>
      <c r="AP74" s="41">
        <f>COUNTIF(C74:AF74,"A")</f>
        <v>0</v>
      </c>
      <c r="AQ74" s="35" t="e">
        <f>((AG74*2)+((AH74+AI74)*-1)+(AJ74*-1)+(AP74*-3))+(#REF!*-0.5)</f>
        <v>#REF!</v>
      </c>
      <c r="AR74" s="35">
        <f t="shared" si="20"/>
        <v>40</v>
      </c>
      <c r="AS74" s="35" t="e">
        <f t="shared" si="9"/>
        <v>#REF!</v>
      </c>
      <c r="AT74" s="35" t="e">
        <f t="shared" si="10"/>
        <v>#REF!</v>
      </c>
      <c r="AU74" s="36" t="e">
        <f t="shared" si="11"/>
        <v>#REF!</v>
      </c>
    </row>
    <row r="75" spans="1:47" x14ac:dyDescent="0.3">
      <c r="A75" s="9">
        <v>62</v>
      </c>
      <c r="B75" s="44" t="s">
        <v>94</v>
      </c>
      <c r="C75" s="45"/>
      <c r="D75" s="38"/>
      <c r="E75" s="31"/>
      <c r="F75" s="25"/>
      <c r="G75" s="31"/>
      <c r="H75" s="39"/>
      <c r="I75" s="39"/>
      <c r="J75" s="25"/>
      <c r="K75" s="25"/>
      <c r="L75" s="25"/>
      <c r="M75" s="25"/>
      <c r="N75" s="25"/>
      <c r="O75" s="39"/>
      <c r="P75" s="39"/>
      <c r="Q75" s="20"/>
      <c r="R75" s="20"/>
      <c r="S75" s="20"/>
      <c r="T75" s="25"/>
      <c r="U75" s="25"/>
      <c r="V75" s="39"/>
      <c r="W75" s="39"/>
      <c r="X75" s="31"/>
      <c r="Y75" s="25"/>
      <c r="Z75" s="25"/>
      <c r="AA75" s="25"/>
      <c r="AB75" s="25"/>
      <c r="AC75" s="39"/>
      <c r="AD75" s="39"/>
      <c r="AE75" s="20"/>
      <c r="AF75" s="20"/>
      <c r="AG75" s="41">
        <f>(AG$16)-AJ75-AP75</f>
        <v>20</v>
      </c>
      <c r="AH75" s="41">
        <f>COUNTIF(C75:AF75,"HIP")+1</f>
        <v>1</v>
      </c>
      <c r="AI75" s="41">
        <f t="shared" si="13"/>
        <v>0</v>
      </c>
      <c r="AJ75" s="41">
        <f t="shared" si="14"/>
        <v>0</v>
      </c>
      <c r="AK75" s="41">
        <f t="shared" si="15"/>
        <v>0</v>
      </c>
      <c r="AL75" s="41">
        <f t="shared" si="16"/>
        <v>0</v>
      </c>
      <c r="AM75" s="41">
        <f t="shared" si="17"/>
        <v>0</v>
      </c>
      <c r="AN75" s="41">
        <f t="shared" si="18"/>
        <v>0</v>
      </c>
      <c r="AO75" s="41">
        <f t="shared" si="19"/>
        <v>0</v>
      </c>
      <c r="AP75" s="41">
        <f>COUNTIF(C75:AF75,"A")</f>
        <v>0</v>
      </c>
      <c r="AQ75" s="35" t="e">
        <f>((AG75*2)+((AH75+AI75)*-1)+(AJ75*-1)+(AP75*-3))+(#REF!*-0.5)</f>
        <v>#REF!</v>
      </c>
      <c r="AR75" s="35">
        <f t="shared" si="20"/>
        <v>40</v>
      </c>
      <c r="AS75" s="35" t="e">
        <f t="shared" si="9"/>
        <v>#REF!</v>
      </c>
      <c r="AT75" s="35" t="e">
        <f t="shared" si="10"/>
        <v>#REF!</v>
      </c>
      <c r="AU75" s="36" t="e">
        <f t="shared" si="11"/>
        <v>#REF!</v>
      </c>
    </row>
    <row r="76" spans="1:47" x14ac:dyDescent="0.3">
      <c r="A76" s="9">
        <v>63</v>
      </c>
      <c r="B76" s="44" t="s">
        <v>95</v>
      </c>
      <c r="C76" s="45"/>
      <c r="D76" s="38"/>
      <c r="E76" s="31"/>
      <c r="F76" s="25"/>
      <c r="G76" s="31"/>
      <c r="H76" s="39"/>
      <c r="I76" s="39"/>
      <c r="J76" s="25"/>
      <c r="K76" s="25"/>
      <c r="L76" s="25"/>
      <c r="M76" s="25"/>
      <c r="N76" s="25"/>
      <c r="O76" s="39"/>
      <c r="P76" s="39"/>
      <c r="Q76" s="20"/>
      <c r="R76" s="20"/>
      <c r="S76" s="20"/>
      <c r="T76" s="25"/>
      <c r="U76" s="25"/>
      <c r="V76" s="39"/>
      <c r="W76" s="39"/>
      <c r="X76" s="31"/>
      <c r="Y76" s="25"/>
      <c r="Z76" s="25"/>
      <c r="AA76" s="25"/>
      <c r="AB76" s="25"/>
      <c r="AC76" s="39"/>
      <c r="AD76" s="39"/>
      <c r="AE76" s="20"/>
      <c r="AF76" s="20"/>
      <c r="AG76" s="41">
        <f>(AG$16)-AJ76-AP76</f>
        <v>20</v>
      </c>
      <c r="AH76" s="41">
        <f t="shared" ref="AH76:AH111" si="21">COUNTIF(C76:AF76,"HIP")</f>
        <v>0</v>
      </c>
      <c r="AI76" s="41">
        <f t="shared" si="13"/>
        <v>0</v>
      </c>
      <c r="AJ76" s="41">
        <f t="shared" si="14"/>
        <v>0</v>
      </c>
      <c r="AK76" s="41">
        <f t="shared" si="15"/>
        <v>0</v>
      </c>
      <c r="AL76" s="41">
        <f t="shared" si="16"/>
        <v>0</v>
      </c>
      <c r="AM76" s="41">
        <f t="shared" si="17"/>
        <v>0</v>
      </c>
      <c r="AN76" s="41">
        <f t="shared" si="18"/>
        <v>0</v>
      </c>
      <c r="AO76" s="41">
        <f t="shared" si="19"/>
        <v>0</v>
      </c>
      <c r="AP76" s="41">
        <f>COUNTIF(C76:AF76,"A")</f>
        <v>0</v>
      </c>
      <c r="AQ76" s="35" t="e">
        <f>((AG76*2)+((AH76+AI76)*-1)+(AJ76*-1)+(AP76*-3))+(#REF!*-0.5)</f>
        <v>#REF!</v>
      </c>
      <c r="AR76" s="35">
        <f t="shared" si="20"/>
        <v>40</v>
      </c>
      <c r="AS76" s="35" t="e">
        <f t="shared" si="9"/>
        <v>#REF!</v>
      </c>
      <c r="AT76" s="35" t="e">
        <f t="shared" si="10"/>
        <v>#REF!</v>
      </c>
      <c r="AU76" s="36" t="e">
        <f t="shared" si="11"/>
        <v>#REF!</v>
      </c>
    </row>
    <row r="77" spans="1:47" x14ac:dyDescent="0.3">
      <c r="A77" s="9">
        <v>64</v>
      </c>
      <c r="B77" s="44" t="s">
        <v>96</v>
      </c>
      <c r="C77" s="45"/>
      <c r="D77" s="38"/>
      <c r="E77" s="31"/>
      <c r="F77" s="25"/>
      <c r="G77" s="31"/>
      <c r="H77" s="39"/>
      <c r="I77" s="39"/>
      <c r="J77" s="25"/>
      <c r="K77" s="25"/>
      <c r="L77" s="25"/>
      <c r="M77" s="25"/>
      <c r="N77" s="25"/>
      <c r="O77" s="39"/>
      <c r="P77" s="39"/>
      <c r="Q77" s="20"/>
      <c r="R77" s="20"/>
      <c r="S77" s="20"/>
      <c r="T77" s="25"/>
      <c r="U77" s="25"/>
      <c r="V77" s="39"/>
      <c r="W77" s="39"/>
      <c r="X77" s="31"/>
      <c r="Y77" s="25"/>
      <c r="Z77" s="25"/>
      <c r="AA77" s="25"/>
      <c r="AB77" s="25"/>
      <c r="AC77" s="39"/>
      <c r="AD77" s="39"/>
      <c r="AE77" s="20"/>
      <c r="AF77" s="20"/>
      <c r="AG77" s="41">
        <f>(AG$16)-AJ77-AP77</f>
        <v>20</v>
      </c>
      <c r="AH77" s="41">
        <f t="shared" si="21"/>
        <v>0</v>
      </c>
      <c r="AI77" s="41">
        <f t="shared" si="13"/>
        <v>0</v>
      </c>
      <c r="AJ77" s="41">
        <f t="shared" si="14"/>
        <v>0</v>
      </c>
      <c r="AK77" s="41">
        <f t="shared" si="15"/>
        <v>0</v>
      </c>
      <c r="AL77" s="41">
        <f t="shared" si="16"/>
        <v>0</v>
      </c>
      <c r="AM77" s="41">
        <f t="shared" si="17"/>
        <v>0</v>
      </c>
      <c r="AN77" s="41">
        <f t="shared" si="18"/>
        <v>0</v>
      </c>
      <c r="AO77" s="41">
        <f t="shared" si="19"/>
        <v>0</v>
      </c>
      <c r="AP77" s="41">
        <f>COUNTIF(C77:AF77,"A")</f>
        <v>0</v>
      </c>
      <c r="AQ77" s="35" t="e">
        <f>((AG77*2)+((AH77+AI77)*-1)+(AJ77*-1)+(AP77*-3))+(#REF!*-0.5)</f>
        <v>#REF!</v>
      </c>
      <c r="AR77" s="35">
        <f t="shared" si="20"/>
        <v>40</v>
      </c>
      <c r="AS77" s="35" t="e">
        <f t="shared" si="9"/>
        <v>#REF!</v>
      </c>
      <c r="AT77" s="35" t="e">
        <f t="shared" si="10"/>
        <v>#REF!</v>
      </c>
      <c r="AU77" s="36" t="e">
        <f t="shared" si="11"/>
        <v>#REF!</v>
      </c>
    </row>
    <row r="78" spans="1:47" x14ac:dyDescent="0.3">
      <c r="A78" s="9">
        <v>65</v>
      </c>
      <c r="B78" s="44" t="s">
        <v>97</v>
      </c>
      <c r="C78" s="45"/>
      <c r="D78" s="38"/>
      <c r="E78" s="31"/>
      <c r="F78" s="25"/>
      <c r="G78" s="31"/>
      <c r="H78" s="39"/>
      <c r="I78" s="39"/>
      <c r="J78" s="25"/>
      <c r="K78" s="25"/>
      <c r="L78" s="25"/>
      <c r="M78" s="25"/>
      <c r="N78" s="25"/>
      <c r="O78" s="39"/>
      <c r="P78" s="39"/>
      <c r="Q78" s="20"/>
      <c r="R78" s="20"/>
      <c r="S78" s="20"/>
      <c r="T78" s="25"/>
      <c r="U78" s="25"/>
      <c r="V78" s="39"/>
      <c r="W78" s="39"/>
      <c r="X78" s="31"/>
      <c r="Y78" s="25"/>
      <c r="Z78" s="25"/>
      <c r="AA78" s="25"/>
      <c r="AB78" s="25"/>
      <c r="AC78" s="39"/>
      <c r="AD78" s="39"/>
      <c r="AE78" s="20"/>
      <c r="AF78" s="20"/>
      <c r="AG78" s="41">
        <f>(AG$16)-AJ78-AP78</f>
        <v>20</v>
      </c>
      <c r="AH78" s="41">
        <f t="shared" si="21"/>
        <v>0</v>
      </c>
      <c r="AI78" s="41">
        <f t="shared" si="13"/>
        <v>0</v>
      </c>
      <c r="AJ78" s="41">
        <f t="shared" si="14"/>
        <v>0</v>
      </c>
      <c r="AK78" s="41">
        <f t="shared" si="15"/>
        <v>0</v>
      </c>
      <c r="AL78" s="41">
        <f t="shared" si="16"/>
        <v>0</v>
      </c>
      <c r="AM78" s="41">
        <f t="shared" si="17"/>
        <v>0</v>
      </c>
      <c r="AN78" s="41">
        <f t="shared" si="18"/>
        <v>0</v>
      </c>
      <c r="AO78" s="41">
        <f t="shared" si="19"/>
        <v>0</v>
      </c>
      <c r="AP78" s="41">
        <f>COUNTIF(C78:AF78,"A")</f>
        <v>0</v>
      </c>
      <c r="AQ78" s="35" t="e">
        <f>((AG78*2)+((AH78+AI78)*-1)+(AJ78*-1)+(AP78*-3))+(#REF!*-0.5)</f>
        <v>#REF!</v>
      </c>
      <c r="AR78" s="35">
        <f t="shared" si="20"/>
        <v>40</v>
      </c>
      <c r="AS78" s="35" t="e">
        <f t="shared" si="9"/>
        <v>#REF!</v>
      </c>
      <c r="AT78" s="35" t="e">
        <f t="shared" si="10"/>
        <v>#REF!</v>
      </c>
      <c r="AU78" s="36" t="e">
        <f t="shared" si="11"/>
        <v>#REF!</v>
      </c>
    </row>
    <row r="79" spans="1:47" x14ac:dyDescent="0.3">
      <c r="A79" s="9">
        <v>66</v>
      </c>
      <c r="B79" s="44" t="s">
        <v>98</v>
      </c>
      <c r="C79" s="45"/>
      <c r="D79" s="38"/>
      <c r="E79" s="31"/>
      <c r="F79" s="25"/>
      <c r="G79" s="31"/>
      <c r="H79" s="39"/>
      <c r="I79" s="39"/>
      <c r="J79" s="25"/>
      <c r="K79" s="25"/>
      <c r="L79" s="25"/>
      <c r="M79" s="25"/>
      <c r="N79" s="25"/>
      <c r="O79" s="39"/>
      <c r="P79" s="39"/>
      <c r="Q79" s="20"/>
      <c r="R79" s="20"/>
      <c r="S79" s="20"/>
      <c r="T79" s="25"/>
      <c r="U79" s="25"/>
      <c r="V79" s="39"/>
      <c r="W79" s="39"/>
      <c r="X79" s="31"/>
      <c r="Y79" s="25"/>
      <c r="Z79" s="25"/>
      <c r="AA79" s="25"/>
      <c r="AB79" s="25"/>
      <c r="AC79" s="39"/>
      <c r="AD79" s="39"/>
      <c r="AE79" s="20"/>
      <c r="AF79" s="20"/>
      <c r="AG79" s="41">
        <f>(AG$16)-AJ79-AP79</f>
        <v>20</v>
      </c>
      <c r="AH79" s="41">
        <f t="shared" si="21"/>
        <v>0</v>
      </c>
      <c r="AI79" s="41">
        <f t="shared" si="13"/>
        <v>0</v>
      </c>
      <c r="AJ79" s="41">
        <f t="shared" si="14"/>
        <v>0</v>
      </c>
      <c r="AK79" s="41">
        <f t="shared" si="15"/>
        <v>0</v>
      </c>
      <c r="AL79" s="41">
        <f t="shared" si="16"/>
        <v>0</v>
      </c>
      <c r="AM79" s="41">
        <f t="shared" si="17"/>
        <v>0</v>
      </c>
      <c r="AN79" s="41">
        <f t="shared" si="18"/>
        <v>0</v>
      </c>
      <c r="AO79" s="41">
        <f t="shared" si="19"/>
        <v>0</v>
      </c>
      <c r="AP79" s="41">
        <f>COUNTIF(C79:AF79,"A")</f>
        <v>0</v>
      </c>
      <c r="AQ79" s="35" t="e">
        <f>((AG79*2)+((AH79+AI79)*-1)+(AJ79*-1)+(AP79*-3))+(#REF!*-0.5)</f>
        <v>#REF!</v>
      </c>
      <c r="AR79" s="35">
        <f t="shared" si="20"/>
        <v>40</v>
      </c>
      <c r="AS79" s="35" t="e">
        <f t="shared" ref="AS79:AS91" si="22">AQ79/AR79*100</f>
        <v>#REF!</v>
      </c>
      <c r="AT79" s="35" t="e">
        <f t="shared" ref="AT79:AT91" si="23">IF(AS79=100,$AZ$14,IF(AND(AS79&lt;100,AS79&gt;89),$AZ$15,IF(AND(AS79&lt;90,AS79&gt;79),$AZ$16,IF(AND(AS79&lt;80,AS79&gt;64),$BD$14,IF(AND(AS79&lt;65,AS79&gt;=50),$BD$15,$BD$16)))))</f>
        <v>#REF!</v>
      </c>
      <c r="AU79" s="36" t="e">
        <f t="shared" ref="AU79:AU91" si="24">AT79*0.2</f>
        <v>#REF!</v>
      </c>
    </row>
    <row r="80" spans="1:47" x14ac:dyDescent="0.3">
      <c r="A80" s="9">
        <v>67</v>
      </c>
      <c r="B80" s="44" t="s">
        <v>99</v>
      </c>
      <c r="C80" s="45"/>
      <c r="D80" s="38"/>
      <c r="E80" s="31"/>
      <c r="F80" s="25"/>
      <c r="G80" s="31"/>
      <c r="H80" s="39"/>
      <c r="I80" s="39"/>
      <c r="J80" s="25"/>
      <c r="K80" s="25"/>
      <c r="L80" s="25"/>
      <c r="M80" s="25"/>
      <c r="N80" s="25"/>
      <c r="O80" s="39"/>
      <c r="P80" s="39"/>
      <c r="Q80" s="20"/>
      <c r="R80" s="20"/>
      <c r="S80" s="20"/>
      <c r="T80" s="25"/>
      <c r="U80" s="25"/>
      <c r="V80" s="39"/>
      <c r="W80" s="39"/>
      <c r="X80" s="31"/>
      <c r="Y80" s="25"/>
      <c r="Z80" s="25"/>
      <c r="AA80" s="25"/>
      <c r="AB80" s="25"/>
      <c r="AC80" s="39"/>
      <c r="AD80" s="39"/>
      <c r="AE80" s="20"/>
      <c r="AF80" s="20"/>
      <c r="AG80" s="41">
        <f>(AG$16)-AJ80-AP80</f>
        <v>20</v>
      </c>
      <c r="AH80" s="41">
        <f t="shared" si="21"/>
        <v>0</v>
      </c>
      <c r="AI80" s="41">
        <f t="shared" si="13"/>
        <v>0</v>
      </c>
      <c r="AJ80" s="41">
        <f t="shared" si="14"/>
        <v>0</v>
      </c>
      <c r="AK80" s="41">
        <f t="shared" si="15"/>
        <v>0</v>
      </c>
      <c r="AL80" s="41">
        <f t="shared" si="16"/>
        <v>0</v>
      </c>
      <c r="AM80" s="41">
        <f t="shared" si="17"/>
        <v>0</v>
      </c>
      <c r="AN80" s="41">
        <f t="shared" si="18"/>
        <v>0</v>
      </c>
      <c r="AO80" s="41">
        <f t="shared" si="19"/>
        <v>0</v>
      </c>
      <c r="AP80" s="41">
        <f>COUNTIF(C80:AF80,"A")</f>
        <v>0</v>
      </c>
      <c r="AQ80" s="35" t="e">
        <f>((AG80*2)+((AH80+AI80)*-1)+(AJ80*-1)+(AP80*-3))+(#REF!*-0.5)</f>
        <v>#REF!</v>
      </c>
      <c r="AR80" s="35">
        <f t="shared" si="20"/>
        <v>40</v>
      </c>
      <c r="AS80" s="35" t="e">
        <f t="shared" si="22"/>
        <v>#REF!</v>
      </c>
      <c r="AT80" s="35" t="e">
        <f t="shared" si="23"/>
        <v>#REF!</v>
      </c>
      <c r="AU80" s="36" t="e">
        <f t="shared" si="24"/>
        <v>#REF!</v>
      </c>
    </row>
    <row r="81" spans="1:47" x14ac:dyDescent="0.3">
      <c r="A81" s="9">
        <v>68</v>
      </c>
      <c r="B81" s="44" t="s">
        <v>100</v>
      </c>
      <c r="C81" s="45"/>
      <c r="D81" s="38"/>
      <c r="E81" s="31"/>
      <c r="F81" s="25"/>
      <c r="G81" s="31"/>
      <c r="H81" s="59"/>
      <c r="I81" s="59"/>
      <c r="J81" s="25"/>
      <c r="K81" s="25"/>
      <c r="L81" s="25"/>
      <c r="M81" s="25"/>
      <c r="N81" s="25"/>
      <c r="O81" s="59"/>
      <c r="P81" s="59"/>
      <c r="Q81" s="20"/>
      <c r="R81" s="20"/>
      <c r="S81" s="20"/>
      <c r="T81" s="25"/>
      <c r="U81" s="25"/>
      <c r="V81" s="59"/>
      <c r="W81" s="59"/>
      <c r="X81" s="31"/>
      <c r="Y81" s="25"/>
      <c r="Z81" s="25"/>
      <c r="AA81" s="25"/>
      <c r="AB81" s="25"/>
      <c r="AC81" s="59"/>
      <c r="AD81" s="59"/>
      <c r="AE81" s="20"/>
      <c r="AF81" s="20"/>
      <c r="AG81" s="41">
        <f>(AG$16)-AJ81-AP81</f>
        <v>20</v>
      </c>
      <c r="AH81" s="41">
        <f t="shared" si="21"/>
        <v>0</v>
      </c>
      <c r="AI81" s="41">
        <f t="shared" ref="AI81:AI111" si="25">COUNTIF(C81:AF81,"HIS")</f>
        <v>0</v>
      </c>
      <c r="AJ81" s="41">
        <f t="shared" ref="AJ81:AJ111" si="26">COUNTIF(C81:AF81,"I")</f>
        <v>0</v>
      </c>
      <c r="AK81" s="41">
        <f t="shared" ref="AK81:AK111" si="27">COUNTIF(C81:AF81,"IL")</f>
        <v>0</v>
      </c>
      <c r="AL81" s="41">
        <f t="shared" ref="AL81:AL111" si="28">COUNTIF(C81:AF81,"PM")</f>
        <v>0</v>
      </c>
      <c r="AM81" s="41">
        <f t="shared" ref="AM81:AM111" si="29">COUNTIF(C81:AF81,"OTL")</f>
        <v>0</v>
      </c>
      <c r="AN81" s="41">
        <f t="shared" ref="AN81:AN111" si="30">COUNTIF(C81:AF81,"AL")</f>
        <v>0</v>
      </c>
      <c r="AO81" s="41">
        <f t="shared" ref="AO81:AO111" si="31">COUNTIF(C81:AF81,"DL")</f>
        <v>0</v>
      </c>
      <c r="AP81" s="41">
        <f>COUNTIF(C81:AF81,"A")</f>
        <v>0</v>
      </c>
      <c r="AQ81" s="35" t="e">
        <f>((AG81*2)+((AH81+AI81)*-1)+(AJ81*-1)+(AP81*-3))+(#REF!*-0.5)</f>
        <v>#REF!</v>
      </c>
      <c r="AR81" s="35">
        <f t="shared" ref="AR81:AR111" si="32">AG81*2</f>
        <v>40</v>
      </c>
      <c r="AS81" s="35" t="e">
        <f t="shared" si="22"/>
        <v>#REF!</v>
      </c>
      <c r="AT81" s="35" t="e">
        <f t="shared" si="23"/>
        <v>#REF!</v>
      </c>
      <c r="AU81" s="36" t="e">
        <f t="shared" si="24"/>
        <v>#REF!</v>
      </c>
    </row>
    <row r="82" spans="1:47" x14ac:dyDescent="0.3">
      <c r="A82" s="9">
        <v>69</v>
      </c>
      <c r="B82" s="44" t="s">
        <v>101</v>
      </c>
      <c r="C82" s="45"/>
      <c r="D82" s="38"/>
      <c r="E82" s="31"/>
      <c r="F82" s="25"/>
      <c r="G82" s="31"/>
      <c r="H82" s="59"/>
      <c r="I82" s="59"/>
      <c r="J82" s="25"/>
      <c r="K82" s="25"/>
      <c r="L82" s="25"/>
      <c r="M82" s="25"/>
      <c r="N82" s="25"/>
      <c r="O82" s="59"/>
      <c r="P82" s="59"/>
      <c r="Q82" s="20"/>
      <c r="R82" s="20"/>
      <c r="S82" s="20"/>
      <c r="T82" s="25"/>
      <c r="U82" s="25"/>
      <c r="V82" s="59"/>
      <c r="W82" s="59"/>
      <c r="X82" s="31"/>
      <c r="Y82" s="25"/>
      <c r="Z82" s="25"/>
      <c r="AA82" s="25"/>
      <c r="AB82" s="25"/>
      <c r="AC82" s="59"/>
      <c r="AD82" s="59"/>
      <c r="AE82" s="20"/>
      <c r="AF82" s="20"/>
      <c r="AG82" s="41">
        <f>(AG$16)-AJ82-AP82</f>
        <v>20</v>
      </c>
      <c r="AH82" s="41">
        <f t="shared" si="21"/>
        <v>0</v>
      </c>
      <c r="AI82" s="41">
        <f t="shared" si="25"/>
        <v>0</v>
      </c>
      <c r="AJ82" s="41">
        <f t="shared" si="26"/>
        <v>0</v>
      </c>
      <c r="AK82" s="41">
        <f t="shared" si="27"/>
        <v>0</v>
      </c>
      <c r="AL82" s="41">
        <f t="shared" si="28"/>
        <v>0</v>
      </c>
      <c r="AM82" s="41">
        <f t="shared" si="29"/>
        <v>0</v>
      </c>
      <c r="AN82" s="41">
        <f t="shared" si="30"/>
        <v>0</v>
      </c>
      <c r="AO82" s="41">
        <f t="shared" si="31"/>
        <v>0</v>
      </c>
      <c r="AP82" s="41">
        <f>COUNTIF(C82:AF82,"A")</f>
        <v>0</v>
      </c>
      <c r="AQ82" s="35" t="e">
        <f>((AG82*2)+((AH82+AI82)*-1)+(AJ82*-1)+(AP82*-3))+(#REF!*-0.5)</f>
        <v>#REF!</v>
      </c>
      <c r="AR82" s="35">
        <f t="shared" si="32"/>
        <v>40</v>
      </c>
      <c r="AS82" s="35" t="e">
        <f t="shared" si="22"/>
        <v>#REF!</v>
      </c>
      <c r="AT82" s="35" t="e">
        <f t="shared" si="23"/>
        <v>#REF!</v>
      </c>
      <c r="AU82" s="36" t="e">
        <f t="shared" si="24"/>
        <v>#REF!</v>
      </c>
    </row>
    <row r="83" spans="1:47" x14ac:dyDescent="0.3">
      <c r="A83" s="9">
        <v>70</v>
      </c>
      <c r="B83" s="44" t="s">
        <v>102</v>
      </c>
      <c r="C83" s="45"/>
      <c r="D83" s="38"/>
      <c r="E83" s="31"/>
      <c r="F83" s="25"/>
      <c r="G83" s="31"/>
      <c r="H83" s="59"/>
      <c r="I83" s="59"/>
      <c r="J83" s="25"/>
      <c r="K83" s="25"/>
      <c r="L83" s="25"/>
      <c r="M83" s="25"/>
      <c r="N83" s="25"/>
      <c r="O83" s="59"/>
      <c r="P83" s="59"/>
      <c r="Q83" s="20"/>
      <c r="R83" s="20"/>
      <c r="S83" s="20"/>
      <c r="T83" s="25"/>
      <c r="U83" s="25"/>
      <c r="V83" s="59"/>
      <c r="W83" s="59"/>
      <c r="X83" s="31"/>
      <c r="Y83" s="25"/>
      <c r="Z83" s="25"/>
      <c r="AA83" s="25"/>
      <c r="AB83" s="25"/>
      <c r="AC83" s="59"/>
      <c r="AD83" s="59"/>
      <c r="AE83" s="20"/>
      <c r="AF83" s="20"/>
      <c r="AG83" s="41">
        <f>(AG$16)-AJ83-AP83</f>
        <v>20</v>
      </c>
      <c r="AH83" s="41">
        <f t="shared" si="21"/>
        <v>0</v>
      </c>
      <c r="AI83" s="41">
        <f t="shared" si="25"/>
        <v>0</v>
      </c>
      <c r="AJ83" s="41">
        <f t="shared" si="26"/>
        <v>0</v>
      </c>
      <c r="AK83" s="41">
        <f t="shared" si="27"/>
        <v>0</v>
      </c>
      <c r="AL83" s="41">
        <f t="shared" si="28"/>
        <v>0</v>
      </c>
      <c r="AM83" s="41">
        <f t="shared" si="29"/>
        <v>0</v>
      </c>
      <c r="AN83" s="41">
        <f t="shared" si="30"/>
        <v>0</v>
      </c>
      <c r="AO83" s="41">
        <f t="shared" si="31"/>
        <v>0</v>
      </c>
      <c r="AP83" s="41">
        <f>COUNTIF(C83:AF83,"A")</f>
        <v>0</v>
      </c>
      <c r="AQ83" s="35" t="e">
        <f>((AG83*2)+((AH83+AI83)*-1)+(AJ83*-1)+(AP83*-3))+(#REF!*-0.5)</f>
        <v>#REF!</v>
      </c>
      <c r="AR83" s="35">
        <f t="shared" si="32"/>
        <v>40</v>
      </c>
      <c r="AS83" s="35" t="e">
        <f t="shared" si="22"/>
        <v>#REF!</v>
      </c>
      <c r="AT83" s="35" t="e">
        <f t="shared" si="23"/>
        <v>#REF!</v>
      </c>
      <c r="AU83" s="36" t="e">
        <f t="shared" si="24"/>
        <v>#REF!</v>
      </c>
    </row>
    <row r="84" spans="1:47" x14ac:dyDescent="0.3">
      <c r="A84" s="9">
        <v>71</v>
      </c>
      <c r="B84" s="44" t="s">
        <v>103</v>
      </c>
      <c r="C84" s="45"/>
      <c r="D84" s="38"/>
      <c r="E84" s="31"/>
      <c r="F84" s="25"/>
      <c r="G84" s="31"/>
      <c r="H84" s="39"/>
      <c r="I84" s="39"/>
      <c r="J84" s="25"/>
      <c r="K84" s="25"/>
      <c r="L84" s="25"/>
      <c r="M84" s="25"/>
      <c r="N84" s="25"/>
      <c r="O84" s="39"/>
      <c r="P84" s="39"/>
      <c r="Q84" s="20"/>
      <c r="R84" s="20"/>
      <c r="S84" s="20"/>
      <c r="T84" s="25"/>
      <c r="U84" s="25"/>
      <c r="V84" s="39"/>
      <c r="W84" s="39"/>
      <c r="X84" s="31"/>
      <c r="Y84" s="25"/>
      <c r="Z84" s="25"/>
      <c r="AA84" s="25"/>
      <c r="AB84" s="25"/>
      <c r="AC84" s="39"/>
      <c r="AD84" s="39"/>
      <c r="AE84" s="20"/>
      <c r="AF84" s="20"/>
      <c r="AG84" s="41">
        <f>(AG$16)-AJ84-AP84</f>
        <v>20</v>
      </c>
      <c r="AH84" s="41">
        <f t="shared" si="21"/>
        <v>0</v>
      </c>
      <c r="AI84" s="41">
        <f t="shared" si="25"/>
        <v>0</v>
      </c>
      <c r="AJ84" s="41">
        <f t="shared" si="26"/>
        <v>0</v>
      </c>
      <c r="AK84" s="41">
        <f t="shared" si="27"/>
        <v>0</v>
      </c>
      <c r="AL84" s="41">
        <f t="shared" si="28"/>
        <v>0</v>
      </c>
      <c r="AM84" s="41">
        <f t="shared" si="29"/>
        <v>0</v>
      </c>
      <c r="AN84" s="41">
        <f t="shared" si="30"/>
        <v>0</v>
      </c>
      <c r="AO84" s="41">
        <f t="shared" si="31"/>
        <v>0</v>
      </c>
      <c r="AP84" s="41">
        <f>COUNTIF(C84:AF84,"A")</f>
        <v>0</v>
      </c>
      <c r="AQ84" s="35" t="e">
        <f>((AG84*2)+((AH84+AI84)*-1)+(AJ84*-1)+(AP84*-3))+(#REF!*-0.5)</f>
        <v>#REF!</v>
      </c>
      <c r="AR84" s="35">
        <f t="shared" si="32"/>
        <v>40</v>
      </c>
      <c r="AS84" s="35" t="e">
        <f t="shared" si="22"/>
        <v>#REF!</v>
      </c>
      <c r="AT84" s="35" t="e">
        <f t="shared" si="23"/>
        <v>#REF!</v>
      </c>
      <c r="AU84" s="36" t="e">
        <f t="shared" si="24"/>
        <v>#REF!</v>
      </c>
    </row>
    <row r="85" spans="1:47" x14ac:dyDescent="0.3">
      <c r="A85" s="9">
        <v>72</v>
      </c>
      <c r="B85" s="60" t="s">
        <v>104</v>
      </c>
      <c r="C85" s="45"/>
      <c r="D85" s="38"/>
      <c r="E85" s="31"/>
      <c r="F85" s="25"/>
      <c r="G85" s="31"/>
      <c r="H85" s="39"/>
      <c r="I85" s="39"/>
      <c r="J85" s="25"/>
      <c r="K85" s="25"/>
      <c r="L85" s="25"/>
      <c r="M85" s="25"/>
      <c r="N85" s="25"/>
      <c r="O85" s="39"/>
      <c r="P85" s="39"/>
      <c r="Q85" s="20"/>
      <c r="R85" s="20"/>
      <c r="S85" s="20"/>
      <c r="T85" s="25"/>
      <c r="U85" s="25"/>
      <c r="V85" s="39"/>
      <c r="W85" s="39"/>
      <c r="X85" s="31"/>
      <c r="Y85" s="25"/>
      <c r="Z85" s="25"/>
      <c r="AA85" s="25"/>
      <c r="AB85" s="25"/>
      <c r="AC85" s="39"/>
      <c r="AD85" s="39"/>
      <c r="AE85" s="20"/>
      <c r="AF85" s="20"/>
      <c r="AG85" s="41">
        <f>(AG$16)-AJ85-AP85</f>
        <v>20</v>
      </c>
      <c r="AH85" s="41">
        <f t="shared" si="21"/>
        <v>0</v>
      </c>
      <c r="AI85" s="41">
        <f t="shared" si="25"/>
        <v>0</v>
      </c>
      <c r="AJ85" s="41">
        <f t="shared" si="26"/>
        <v>0</v>
      </c>
      <c r="AK85" s="41">
        <f t="shared" si="27"/>
        <v>0</v>
      </c>
      <c r="AL85" s="41">
        <f t="shared" si="28"/>
        <v>0</v>
      </c>
      <c r="AM85" s="41">
        <f t="shared" si="29"/>
        <v>0</v>
      </c>
      <c r="AN85" s="41">
        <f t="shared" si="30"/>
        <v>0</v>
      </c>
      <c r="AO85" s="41">
        <f t="shared" si="31"/>
        <v>0</v>
      </c>
      <c r="AP85" s="41">
        <f>COUNTIF(C85:AF85,"A")</f>
        <v>0</v>
      </c>
      <c r="AQ85" s="35" t="e">
        <f>((AG85*2)+((AH85+AI85)*-1)+(AJ85*-1)+(AP85*-3))+(#REF!*-0.5)</f>
        <v>#REF!</v>
      </c>
      <c r="AR85" s="35">
        <f t="shared" si="32"/>
        <v>40</v>
      </c>
      <c r="AS85" s="35" t="e">
        <f t="shared" si="22"/>
        <v>#REF!</v>
      </c>
      <c r="AT85" s="35" t="e">
        <f t="shared" si="23"/>
        <v>#REF!</v>
      </c>
      <c r="AU85" s="36" t="e">
        <f t="shared" si="24"/>
        <v>#REF!</v>
      </c>
    </row>
    <row r="86" spans="1:47" x14ac:dyDescent="0.3">
      <c r="A86" s="9">
        <v>73</v>
      </c>
      <c r="B86" s="60" t="s">
        <v>105</v>
      </c>
      <c r="C86" s="45"/>
      <c r="D86" s="38"/>
      <c r="E86" s="31"/>
      <c r="F86" s="25"/>
      <c r="G86" s="31"/>
      <c r="H86" s="39"/>
      <c r="I86" s="39"/>
      <c r="J86" s="25"/>
      <c r="K86" s="25"/>
      <c r="L86" s="25"/>
      <c r="M86" s="25"/>
      <c r="N86" s="25"/>
      <c r="O86" s="39"/>
      <c r="P86" s="39"/>
      <c r="Q86" s="20"/>
      <c r="R86" s="20"/>
      <c r="S86" s="20"/>
      <c r="T86" s="25"/>
      <c r="U86" s="25"/>
      <c r="V86" s="39"/>
      <c r="W86" s="39"/>
      <c r="X86" s="31"/>
      <c r="Y86" s="25"/>
      <c r="Z86" s="25"/>
      <c r="AA86" s="25"/>
      <c r="AB86" s="25"/>
      <c r="AC86" s="39"/>
      <c r="AD86" s="39"/>
      <c r="AE86" s="20"/>
      <c r="AF86" s="20"/>
      <c r="AG86" s="41">
        <f>(AG$16)-AJ86-AP86</f>
        <v>20</v>
      </c>
      <c r="AH86" s="41">
        <f t="shared" si="21"/>
        <v>0</v>
      </c>
      <c r="AI86" s="41">
        <f t="shared" si="25"/>
        <v>0</v>
      </c>
      <c r="AJ86" s="41">
        <f t="shared" si="26"/>
        <v>0</v>
      </c>
      <c r="AK86" s="41">
        <f t="shared" si="27"/>
        <v>0</v>
      </c>
      <c r="AL86" s="41">
        <f t="shared" si="28"/>
        <v>0</v>
      </c>
      <c r="AM86" s="41">
        <f t="shared" si="29"/>
        <v>0</v>
      </c>
      <c r="AN86" s="41">
        <f t="shared" si="30"/>
        <v>0</v>
      </c>
      <c r="AO86" s="41">
        <f t="shared" si="31"/>
        <v>0</v>
      </c>
      <c r="AP86" s="41">
        <f>COUNTIF(C86:AF86,"A")</f>
        <v>0</v>
      </c>
      <c r="AQ86" s="35" t="e">
        <f>((AG86*2)+((AH86+AI86)*-1)+(AJ86*-1)+(AP86*-3))+(#REF!*-0.5)</f>
        <v>#REF!</v>
      </c>
      <c r="AR86" s="35">
        <f t="shared" si="32"/>
        <v>40</v>
      </c>
      <c r="AS86" s="35" t="e">
        <f t="shared" si="22"/>
        <v>#REF!</v>
      </c>
      <c r="AT86" s="35" t="e">
        <f t="shared" si="23"/>
        <v>#REF!</v>
      </c>
      <c r="AU86" s="36" t="e">
        <f t="shared" si="24"/>
        <v>#REF!</v>
      </c>
    </row>
    <row r="87" spans="1:47" x14ac:dyDescent="0.3">
      <c r="A87" s="9">
        <v>74</v>
      </c>
      <c r="B87" s="60" t="s">
        <v>106</v>
      </c>
      <c r="C87" s="45"/>
      <c r="D87" s="38"/>
      <c r="E87" s="31"/>
      <c r="F87" s="25"/>
      <c r="G87" s="31"/>
      <c r="H87" s="61"/>
      <c r="I87" s="63"/>
      <c r="J87" s="25"/>
      <c r="K87" s="25"/>
      <c r="L87" s="25"/>
      <c r="M87" s="25"/>
      <c r="N87" s="25"/>
      <c r="O87" s="61"/>
      <c r="P87" s="61"/>
      <c r="Q87" s="20"/>
      <c r="R87" s="20"/>
      <c r="S87" s="20"/>
      <c r="T87" s="25"/>
      <c r="U87" s="25"/>
      <c r="V87" s="61"/>
      <c r="W87" s="61"/>
      <c r="X87" s="31"/>
      <c r="Y87" s="25"/>
      <c r="Z87" s="25"/>
      <c r="AA87" s="25"/>
      <c r="AB87" s="25"/>
      <c r="AC87" s="61"/>
      <c r="AD87" s="61"/>
      <c r="AE87" s="20"/>
      <c r="AF87" s="20"/>
      <c r="AG87" s="41">
        <f>(AG$16)-AJ87-AP87</f>
        <v>20</v>
      </c>
      <c r="AH87" s="41">
        <f t="shared" si="21"/>
        <v>0</v>
      </c>
      <c r="AI87" s="41">
        <f t="shared" si="25"/>
        <v>0</v>
      </c>
      <c r="AJ87" s="41">
        <f t="shared" si="26"/>
        <v>0</v>
      </c>
      <c r="AK87" s="41">
        <f t="shared" si="27"/>
        <v>0</v>
      </c>
      <c r="AL87" s="41">
        <f t="shared" si="28"/>
        <v>0</v>
      </c>
      <c r="AM87" s="41">
        <f t="shared" si="29"/>
        <v>0</v>
      </c>
      <c r="AN87" s="41">
        <f t="shared" si="30"/>
        <v>0</v>
      </c>
      <c r="AO87" s="41">
        <f t="shared" si="31"/>
        <v>0</v>
      </c>
      <c r="AP87" s="41">
        <f>COUNTIF(C87:AF87,"A")</f>
        <v>0</v>
      </c>
      <c r="AQ87" s="35" t="e">
        <f>((AG87*2)+((AH87+AI87)*-1)+(AJ87*-1)+(AP87*-3))+(#REF!*-0.5)</f>
        <v>#REF!</v>
      </c>
      <c r="AR87" s="35">
        <f t="shared" si="32"/>
        <v>40</v>
      </c>
      <c r="AS87" s="35" t="e">
        <f t="shared" si="22"/>
        <v>#REF!</v>
      </c>
      <c r="AT87" s="35" t="e">
        <f t="shared" si="23"/>
        <v>#REF!</v>
      </c>
      <c r="AU87" s="36" t="e">
        <f t="shared" si="24"/>
        <v>#REF!</v>
      </c>
    </row>
    <row r="88" spans="1:47" x14ac:dyDescent="0.3">
      <c r="A88" s="9">
        <v>75</v>
      </c>
      <c r="B88" s="60" t="s">
        <v>107</v>
      </c>
      <c r="C88" s="45"/>
      <c r="D88" s="38"/>
      <c r="E88" s="31"/>
      <c r="F88" s="25"/>
      <c r="G88" s="31"/>
      <c r="H88" s="61"/>
      <c r="I88" s="63"/>
      <c r="J88" s="25"/>
      <c r="K88" s="25"/>
      <c r="L88" s="25"/>
      <c r="M88" s="25"/>
      <c r="N88" s="25"/>
      <c r="O88" s="61"/>
      <c r="P88" s="61"/>
      <c r="Q88" s="20"/>
      <c r="R88" s="20"/>
      <c r="S88" s="20"/>
      <c r="T88" s="25"/>
      <c r="U88" s="25"/>
      <c r="V88" s="61"/>
      <c r="W88" s="61"/>
      <c r="X88" s="31"/>
      <c r="Y88" s="25"/>
      <c r="Z88" s="25"/>
      <c r="AA88" s="25"/>
      <c r="AB88" s="25"/>
      <c r="AC88" s="61"/>
      <c r="AD88" s="61"/>
      <c r="AE88" s="20"/>
      <c r="AF88" s="20"/>
      <c r="AG88" s="41">
        <f>(AG$16)-AJ88-AP88</f>
        <v>20</v>
      </c>
      <c r="AH88" s="41">
        <f t="shared" si="21"/>
        <v>0</v>
      </c>
      <c r="AI88" s="41">
        <f t="shared" si="25"/>
        <v>0</v>
      </c>
      <c r="AJ88" s="41">
        <f t="shared" si="26"/>
        <v>0</v>
      </c>
      <c r="AK88" s="41">
        <f t="shared" si="27"/>
        <v>0</v>
      </c>
      <c r="AL88" s="41">
        <f t="shared" si="28"/>
        <v>0</v>
      </c>
      <c r="AM88" s="41">
        <f t="shared" si="29"/>
        <v>0</v>
      </c>
      <c r="AN88" s="41">
        <f t="shared" si="30"/>
        <v>0</v>
      </c>
      <c r="AO88" s="41">
        <f t="shared" si="31"/>
        <v>0</v>
      </c>
      <c r="AP88" s="41">
        <f>COUNTIF(C88:AF88,"A")</f>
        <v>0</v>
      </c>
      <c r="AQ88" s="35" t="e">
        <f>((AG88*2)+((AH88+AI88)*-1)+(AJ88*-1)+(AP88*-3))+(#REF!*-0.5)</f>
        <v>#REF!</v>
      </c>
      <c r="AR88" s="35">
        <f t="shared" si="32"/>
        <v>40</v>
      </c>
      <c r="AS88" s="35" t="e">
        <f t="shared" si="22"/>
        <v>#REF!</v>
      </c>
      <c r="AT88" s="35" t="e">
        <f t="shared" si="23"/>
        <v>#REF!</v>
      </c>
      <c r="AU88" s="36" t="e">
        <f t="shared" si="24"/>
        <v>#REF!</v>
      </c>
    </row>
    <row r="89" spans="1:47" x14ac:dyDescent="0.3">
      <c r="A89" s="9">
        <v>76</v>
      </c>
      <c r="B89" s="44" t="s">
        <v>108</v>
      </c>
      <c r="C89" s="45"/>
      <c r="D89" s="38"/>
      <c r="E89" s="31"/>
      <c r="F89" s="25"/>
      <c r="G89" s="31"/>
      <c r="H89" s="30"/>
      <c r="I89" s="30"/>
      <c r="J89" s="25"/>
      <c r="K89" s="25"/>
      <c r="L89" s="25"/>
      <c r="M89" s="25"/>
      <c r="N89" s="25"/>
      <c r="O89" s="30"/>
      <c r="P89" s="30"/>
      <c r="Q89" s="20"/>
      <c r="R89" s="20"/>
      <c r="S89" s="20"/>
      <c r="T89" s="25"/>
      <c r="U89" s="25"/>
      <c r="V89" s="30"/>
      <c r="W89" s="64"/>
      <c r="X89" s="31"/>
      <c r="Y89" s="25"/>
      <c r="Z89" s="25"/>
      <c r="AA89" s="25"/>
      <c r="AB89" s="25"/>
      <c r="AC89" s="64"/>
      <c r="AD89" s="64"/>
      <c r="AE89" s="20"/>
      <c r="AF89" s="20"/>
      <c r="AG89" s="41">
        <f>(AG$16)-AJ89-AP89</f>
        <v>20</v>
      </c>
      <c r="AH89" s="41">
        <f t="shared" si="21"/>
        <v>0</v>
      </c>
      <c r="AI89" s="41">
        <f t="shared" si="25"/>
        <v>0</v>
      </c>
      <c r="AJ89" s="41">
        <f t="shared" si="26"/>
        <v>0</v>
      </c>
      <c r="AK89" s="41">
        <f t="shared" si="27"/>
        <v>0</v>
      </c>
      <c r="AL89" s="41">
        <f t="shared" si="28"/>
        <v>0</v>
      </c>
      <c r="AM89" s="41">
        <f t="shared" si="29"/>
        <v>0</v>
      </c>
      <c r="AN89" s="41">
        <f t="shared" si="30"/>
        <v>0</v>
      </c>
      <c r="AO89" s="41">
        <f t="shared" si="31"/>
        <v>0</v>
      </c>
      <c r="AP89" s="41">
        <f>COUNTIF(C89:AF89,"A")</f>
        <v>0</v>
      </c>
      <c r="AQ89" s="35" t="e">
        <f>((AG89*2)+((AH89+AI89)*-1)+(AJ89*-1)+(AP89*-3))+(#REF!*-0.5)</f>
        <v>#REF!</v>
      </c>
      <c r="AR89" s="35">
        <f t="shared" si="32"/>
        <v>40</v>
      </c>
      <c r="AS89" s="35" t="e">
        <f t="shared" si="22"/>
        <v>#REF!</v>
      </c>
      <c r="AT89" s="35" t="e">
        <f t="shared" si="23"/>
        <v>#REF!</v>
      </c>
      <c r="AU89" s="36" t="e">
        <f t="shared" si="24"/>
        <v>#REF!</v>
      </c>
    </row>
    <row r="90" spans="1:47" x14ac:dyDescent="0.3">
      <c r="A90" s="9">
        <v>77</v>
      </c>
      <c r="B90" s="43" t="s">
        <v>109</v>
      </c>
      <c r="C90" s="45"/>
      <c r="D90" s="38"/>
      <c r="E90" s="31"/>
      <c r="F90" s="25"/>
      <c r="G90" s="31"/>
      <c r="H90" s="65"/>
      <c r="I90" s="65"/>
      <c r="J90" s="25"/>
      <c r="K90" s="25"/>
      <c r="L90" s="25"/>
      <c r="M90" s="25"/>
      <c r="N90" s="25"/>
      <c r="O90" s="65"/>
      <c r="P90" s="65"/>
      <c r="Q90" s="20"/>
      <c r="R90" s="20"/>
      <c r="S90" s="20"/>
      <c r="T90" s="25"/>
      <c r="U90" s="25"/>
      <c r="V90" s="65"/>
      <c r="W90" s="64"/>
      <c r="X90" s="31"/>
      <c r="Y90" s="25"/>
      <c r="Z90" s="25"/>
      <c r="AA90" s="25"/>
      <c r="AB90" s="25"/>
      <c r="AC90" s="64"/>
      <c r="AD90" s="64"/>
      <c r="AE90" s="20"/>
      <c r="AF90" s="20"/>
      <c r="AG90" s="41">
        <f>(AG$16)-AJ90-AP90</f>
        <v>20</v>
      </c>
      <c r="AH90" s="41">
        <f t="shared" si="21"/>
        <v>0</v>
      </c>
      <c r="AI90" s="41">
        <f t="shared" si="25"/>
        <v>0</v>
      </c>
      <c r="AJ90" s="41">
        <f t="shared" si="26"/>
        <v>0</v>
      </c>
      <c r="AK90" s="41">
        <f t="shared" si="27"/>
        <v>0</v>
      </c>
      <c r="AL90" s="41">
        <f t="shared" si="28"/>
        <v>0</v>
      </c>
      <c r="AM90" s="41">
        <f t="shared" si="29"/>
        <v>0</v>
      </c>
      <c r="AN90" s="41">
        <f t="shared" si="30"/>
        <v>0</v>
      </c>
      <c r="AO90" s="41">
        <f t="shared" si="31"/>
        <v>0</v>
      </c>
      <c r="AP90" s="41">
        <f>COUNTIF(C90:AF90,"A")</f>
        <v>0</v>
      </c>
      <c r="AQ90" s="35" t="e">
        <f>((AG90*2)+((AH90+AI90)*-1)+(AJ90*-1)+(AP90*-3))+(#REF!*-0.5)</f>
        <v>#REF!</v>
      </c>
      <c r="AR90" s="35">
        <f t="shared" si="32"/>
        <v>40</v>
      </c>
      <c r="AS90" s="35" t="e">
        <f t="shared" si="22"/>
        <v>#REF!</v>
      </c>
      <c r="AT90" s="35" t="e">
        <f t="shared" si="23"/>
        <v>#REF!</v>
      </c>
      <c r="AU90" s="36" t="e">
        <f t="shared" si="24"/>
        <v>#REF!</v>
      </c>
    </row>
    <row r="91" spans="1:47" x14ac:dyDescent="0.3">
      <c r="A91" s="9">
        <v>78</v>
      </c>
      <c r="B91" s="43" t="s">
        <v>110</v>
      </c>
      <c r="C91" s="45"/>
      <c r="D91" s="38"/>
      <c r="E91" s="31"/>
      <c r="F91" s="25"/>
      <c r="G91" s="31"/>
      <c r="H91" s="66"/>
      <c r="I91" s="66"/>
      <c r="J91" s="25"/>
      <c r="K91" s="25"/>
      <c r="L91" s="25"/>
      <c r="M91" s="25"/>
      <c r="N91" s="25"/>
      <c r="O91" s="66"/>
      <c r="P91" s="66"/>
      <c r="Q91" s="20"/>
      <c r="R91" s="20"/>
      <c r="S91" s="20"/>
      <c r="T91" s="25"/>
      <c r="U91" s="25"/>
      <c r="V91" s="66"/>
      <c r="W91" s="64"/>
      <c r="X91" s="31"/>
      <c r="Y91" s="25"/>
      <c r="Z91" s="25"/>
      <c r="AA91" s="25"/>
      <c r="AB91" s="25"/>
      <c r="AC91" s="64"/>
      <c r="AD91" s="64"/>
      <c r="AE91" s="20"/>
      <c r="AF91" s="20"/>
      <c r="AG91" s="41">
        <f>(AG$16)-AJ91-AP91</f>
        <v>20</v>
      </c>
      <c r="AH91" s="41">
        <f t="shared" si="21"/>
        <v>0</v>
      </c>
      <c r="AI91" s="41">
        <f t="shared" si="25"/>
        <v>0</v>
      </c>
      <c r="AJ91" s="41">
        <f t="shared" si="26"/>
        <v>0</v>
      </c>
      <c r="AK91" s="41">
        <f t="shared" si="27"/>
        <v>0</v>
      </c>
      <c r="AL91" s="41">
        <f t="shared" si="28"/>
        <v>0</v>
      </c>
      <c r="AM91" s="41">
        <f t="shared" si="29"/>
        <v>0</v>
      </c>
      <c r="AN91" s="41">
        <f t="shared" si="30"/>
        <v>0</v>
      </c>
      <c r="AO91" s="41">
        <f t="shared" si="31"/>
        <v>0</v>
      </c>
      <c r="AP91" s="41">
        <f>COUNTIF(C91:AF91,"A")</f>
        <v>0</v>
      </c>
      <c r="AQ91" s="35" t="e">
        <f>((AG91*2)+((AH91+AI91)*-1)+(AJ91*-1)+(AP91*-3))+(#REF!*-0.5)</f>
        <v>#REF!</v>
      </c>
      <c r="AR91" s="35">
        <f t="shared" si="32"/>
        <v>40</v>
      </c>
      <c r="AS91" s="35" t="e">
        <f t="shared" si="22"/>
        <v>#REF!</v>
      </c>
      <c r="AT91" s="35" t="e">
        <f t="shared" si="23"/>
        <v>#REF!</v>
      </c>
      <c r="AU91" s="36" t="e">
        <f t="shared" si="24"/>
        <v>#REF!</v>
      </c>
    </row>
    <row r="92" spans="1:47" x14ac:dyDescent="0.3">
      <c r="A92" s="9">
        <v>79</v>
      </c>
      <c r="B92" s="44" t="s">
        <v>111</v>
      </c>
      <c r="C92" s="45"/>
      <c r="D92" s="38"/>
      <c r="E92" s="31"/>
      <c r="F92" s="25"/>
      <c r="G92" s="31"/>
      <c r="H92" s="68"/>
      <c r="I92" s="66"/>
      <c r="J92" s="25"/>
      <c r="K92" s="25"/>
      <c r="L92" s="25"/>
      <c r="M92" s="25"/>
      <c r="N92" s="25"/>
      <c r="O92" s="68"/>
      <c r="P92" s="66"/>
      <c r="Q92" s="20"/>
      <c r="R92" s="20"/>
      <c r="S92" s="20"/>
      <c r="T92" s="25"/>
      <c r="U92" s="25"/>
      <c r="V92" s="68"/>
      <c r="W92" s="66"/>
      <c r="X92" s="31"/>
      <c r="Y92" s="25"/>
      <c r="Z92" s="25"/>
      <c r="AA92" s="25"/>
      <c r="AB92" s="25"/>
      <c r="AC92" s="68"/>
      <c r="AD92" s="66"/>
      <c r="AE92" s="20"/>
      <c r="AF92" s="20"/>
      <c r="AG92" s="67">
        <f>(COUNTA(C92:AF92))-AJ92-AP92</f>
        <v>0</v>
      </c>
      <c r="AH92" s="41">
        <f t="shared" si="21"/>
        <v>0</v>
      </c>
      <c r="AI92" s="41">
        <f t="shared" si="25"/>
        <v>0</v>
      </c>
      <c r="AJ92" s="41">
        <f t="shared" si="26"/>
        <v>0</v>
      </c>
      <c r="AK92" s="41">
        <f t="shared" si="27"/>
        <v>0</v>
      </c>
      <c r="AL92" s="41">
        <f t="shared" si="28"/>
        <v>0</v>
      </c>
      <c r="AM92" s="41">
        <f t="shared" si="29"/>
        <v>0</v>
      </c>
      <c r="AN92" s="41">
        <f t="shared" si="30"/>
        <v>0</v>
      </c>
      <c r="AO92" s="41">
        <f t="shared" si="31"/>
        <v>0</v>
      </c>
      <c r="AP92" s="41">
        <f>COUNTIF(C92:AF92,"A")</f>
        <v>0</v>
      </c>
      <c r="AQ92" s="35" t="e">
        <f>((AG92*2)+((AH92+AI92)*-1)+(AJ92*-1)+(AP92*-3))+(#REF!*-0.5)</f>
        <v>#REF!</v>
      </c>
      <c r="AR92" s="35">
        <f t="shared" si="32"/>
        <v>0</v>
      </c>
      <c r="AS92" s="35" t="e">
        <f t="shared" ref="AS92:AS111" si="33">AQ92/AR92*100</f>
        <v>#REF!</v>
      </c>
      <c r="AT92" s="35" t="e">
        <f t="shared" ref="AT92:AT111" si="34">IF(AS92=100,$AZ$14,IF(AND(AS92&lt;100,AS92&gt;89),$AZ$15,IF(AND(AS92&lt;90,AS92&gt;79),$AZ$16,IF(AND(AS92&lt;80,AS92&gt;64),$BD$14,IF(AND(AS92&lt;65,AS92&gt;=50),$BD$15,$BD$16)))))</f>
        <v>#REF!</v>
      </c>
      <c r="AU92" s="36" t="e">
        <f t="shared" ref="AU92:AU111" si="35">AT92*0.2</f>
        <v>#REF!</v>
      </c>
    </row>
    <row r="93" spans="1:47" x14ac:dyDescent="0.3">
      <c r="A93" s="9">
        <v>80</v>
      </c>
      <c r="B93" s="44" t="s">
        <v>112</v>
      </c>
      <c r="C93" s="45"/>
      <c r="D93" s="38"/>
      <c r="E93" s="31"/>
      <c r="F93" s="25"/>
      <c r="G93" s="31"/>
      <c r="H93" s="68"/>
      <c r="I93" s="66"/>
      <c r="J93" s="25"/>
      <c r="K93" s="25"/>
      <c r="L93" s="25"/>
      <c r="M93" s="25"/>
      <c r="N93" s="25"/>
      <c r="O93" s="68"/>
      <c r="P93" s="66"/>
      <c r="Q93" s="20"/>
      <c r="R93" s="20"/>
      <c r="S93" s="20"/>
      <c r="T93" s="25"/>
      <c r="U93" s="25"/>
      <c r="V93" s="68"/>
      <c r="W93" s="66"/>
      <c r="X93" s="31"/>
      <c r="Y93" s="25"/>
      <c r="Z93" s="25"/>
      <c r="AA93" s="25"/>
      <c r="AB93" s="25"/>
      <c r="AC93" s="68"/>
      <c r="AD93" s="66"/>
      <c r="AE93" s="20"/>
      <c r="AF93" s="20"/>
      <c r="AG93" s="67">
        <f>(COUNTA(C93:AF93))-AJ93-AP93</f>
        <v>0</v>
      </c>
      <c r="AH93" s="41">
        <f t="shared" si="21"/>
        <v>0</v>
      </c>
      <c r="AI93" s="41">
        <f t="shared" si="25"/>
        <v>0</v>
      </c>
      <c r="AJ93" s="41">
        <f t="shared" si="26"/>
        <v>0</v>
      </c>
      <c r="AK93" s="41">
        <f t="shared" si="27"/>
        <v>0</v>
      </c>
      <c r="AL93" s="41">
        <f t="shared" si="28"/>
        <v>0</v>
      </c>
      <c r="AM93" s="41">
        <f t="shared" si="29"/>
        <v>0</v>
      </c>
      <c r="AN93" s="41">
        <f t="shared" si="30"/>
        <v>0</v>
      </c>
      <c r="AO93" s="41">
        <f t="shared" si="31"/>
        <v>0</v>
      </c>
      <c r="AP93" s="41">
        <f>COUNTIF(C93:AF93,"A")</f>
        <v>0</v>
      </c>
      <c r="AQ93" s="35" t="e">
        <f>((AG93*2)+((AH93+AI93)*-1)+(AJ93*-1)+(AP93*-3))+(#REF!*-0.5)</f>
        <v>#REF!</v>
      </c>
      <c r="AR93" s="35">
        <f t="shared" si="32"/>
        <v>0</v>
      </c>
      <c r="AS93" s="35" t="e">
        <f t="shared" si="33"/>
        <v>#REF!</v>
      </c>
      <c r="AT93" s="35" t="e">
        <f t="shared" si="34"/>
        <v>#REF!</v>
      </c>
      <c r="AU93" s="36" t="e">
        <f t="shared" si="35"/>
        <v>#REF!</v>
      </c>
    </row>
    <row r="94" spans="1:47" x14ac:dyDescent="0.3">
      <c r="A94" s="9">
        <v>81</v>
      </c>
      <c r="B94" s="44" t="s">
        <v>113</v>
      </c>
      <c r="C94" s="45"/>
      <c r="D94" s="38"/>
      <c r="E94" s="31"/>
      <c r="F94" s="25"/>
      <c r="G94" s="31"/>
      <c r="H94" s="68"/>
      <c r="I94" s="66"/>
      <c r="J94" s="25"/>
      <c r="K94" s="25"/>
      <c r="L94" s="25"/>
      <c r="M94" s="25"/>
      <c r="N94" s="25"/>
      <c r="O94" s="68"/>
      <c r="P94" s="66"/>
      <c r="Q94" s="20"/>
      <c r="R94" s="20"/>
      <c r="S94" s="20"/>
      <c r="T94" s="25"/>
      <c r="U94" s="25"/>
      <c r="V94" s="68"/>
      <c r="W94" s="66"/>
      <c r="X94" s="31"/>
      <c r="Y94" s="25"/>
      <c r="Z94" s="25"/>
      <c r="AA94" s="25"/>
      <c r="AB94" s="25"/>
      <c r="AC94" s="68"/>
      <c r="AD94" s="66"/>
      <c r="AE94" s="20"/>
      <c r="AF94" s="20"/>
      <c r="AG94" s="67">
        <f>(COUNTA(C94:AF94))-AJ94-AP94</f>
        <v>0</v>
      </c>
      <c r="AH94" s="41">
        <f t="shared" si="21"/>
        <v>0</v>
      </c>
      <c r="AI94" s="41">
        <f t="shared" si="25"/>
        <v>0</v>
      </c>
      <c r="AJ94" s="41">
        <f t="shared" si="26"/>
        <v>0</v>
      </c>
      <c r="AK94" s="41">
        <f t="shared" si="27"/>
        <v>0</v>
      </c>
      <c r="AL94" s="41">
        <f t="shared" si="28"/>
        <v>0</v>
      </c>
      <c r="AM94" s="41">
        <f t="shared" si="29"/>
        <v>0</v>
      </c>
      <c r="AN94" s="41">
        <f t="shared" si="30"/>
        <v>0</v>
      </c>
      <c r="AO94" s="41">
        <f t="shared" si="31"/>
        <v>0</v>
      </c>
      <c r="AP94" s="41">
        <f>COUNTIF(C94:AF94,"A")</f>
        <v>0</v>
      </c>
      <c r="AQ94" s="35" t="e">
        <f>((AG94*2)+((AH94+AI94)*-1)+(AJ94*-1)+(AP94*-3))+(#REF!*-0.5)</f>
        <v>#REF!</v>
      </c>
      <c r="AR94" s="35">
        <f t="shared" si="32"/>
        <v>0</v>
      </c>
      <c r="AS94" s="35" t="e">
        <f t="shared" si="33"/>
        <v>#REF!</v>
      </c>
      <c r="AT94" s="35" t="e">
        <f t="shared" si="34"/>
        <v>#REF!</v>
      </c>
      <c r="AU94" s="36" t="e">
        <f t="shared" si="35"/>
        <v>#REF!</v>
      </c>
    </row>
    <row r="95" spans="1:47" x14ac:dyDescent="0.3">
      <c r="A95" s="9">
        <v>82</v>
      </c>
      <c r="B95" s="44" t="s">
        <v>114</v>
      </c>
      <c r="C95" s="45"/>
      <c r="D95" s="38"/>
      <c r="E95" s="31"/>
      <c r="F95" s="25"/>
      <c r="G95" s="31"/>
      <c r="H95" s="66"/>
      <c r="I95" s="68"/>
      <c r="J95" s="25"/>
      <c r="K95" s="25"/>
      <c r="L95" s="25"/>
      <c r="M95" s="25"/>
      <c r="N95" s="25"/>
      <c r="O95" s="66"/>
      <c r="P95" s="68"/>
      <c r="Q95" s="20"/>
      <c r="R95" s="20"/>
      <c r="S95" s="20"/>
      <c r="T95" s="25"/>
      <c r="U95" s="25"/>
      <c r="V95" s="66"/>
      <c r="W95" s="68"/>
      <c r="X95" s="31"/>
      <c r="Y95" s="25"/>
      <c r="Z95" s="25"/>
      <c r="AA95" s="25"/>
      <c r="AB95" s="25"/>
      <c r="AC95" s="66"/>
      <c r="AD95" s="68"/>
      <c r="AE95" s="20"/>
      <c r="AF95" s="20"/>
      <c r="AG95" s="67">
        <f>(COUNTA(C95:AF95))-AJ95-AP95</f>
        <v>0</v>
      </c>
      <c r="AH95" s="41">
        <f t="shared" si="21"/>
        <v>0</v>
      </c>
      <c r="AI95" s="41">
        <f t="shared" si="25"/>
        <v>0</v>
      </c>
      <c r="AJ95" s="41">
        <f t="shared" si="26"/>
        <v>0</v>
      </c>
      <c r="AK95" s="41">
        <f t="shared" si="27"/>
        <v>0</v>
      </c>
      <c r="AL95" s="41">
        <f t="shared" si="28"/>
        <v>0</v>
      </c>
      <c r="AM95" s="41">
        <f t="shared" si="29"/>
        <v>0</v>
      </c>
      <c r="AN95" s="41">
        <f t="shared" si="30"/>
        <v>0</v>
      </c>
      <c r="AO95" s="41">
        <f t="shared" si="31"/>
        <v>0</v>
      </c>
      <c r="AP95" s="41">
        <f>COUNTIF(C95:AF95,"A")</f>
        <v>0</v>
      </c>
      <c r="AQ95" s="35" t="e">
        <f>((AG95*2)+((AH95+AI95)*-1)+(AJ95*-1)+(AP95*-3))+(#REF!*-0.5)</f>
        <v>#REF!</v>
      </c>
      <c r="AR95" s="35">
        <f t="shared" si="32"/>
        <v>0</v>
      </c>
      <c r="AS95" s="35" t="e">
        <f t="shared" si="33"/>
        <v>#REF!</v>
      </c>
      <c r="AT95" s="35" t="e">
        <f t="shared" si="34"/>
        <v>#REF!</v>
      </c>
      <c r="AU95" s="36" t="e">
        <f t="shared" si="35"/>
        <v>#REF!</v>
      </c>
    </row>
    <row r="96" spans="1:47" x14ac:dyDescent="0.3">
      <c r="A96" s="9">
        <v>83</v>
      </c>
      <c r="B96" s="44" t="s">
        <v>115</v>
      </c>
      <c r="C96" s="45"/>
      <c r="D96" s="38"/>
      <c r="E96" s="31"/>
      <c r="F96" s="25"/>
      <c r="G96" s="31"/>
      <c r="H96" s="66"/>
      <c r="I96" s="66"/>
      <c r="J96" s="25"/>
      <c r="K96" s="25"/>
      <c r="L96" s="25"/>
      <c r="M96" s="25"/>
      <c r="N96" s="25"/>
      <c r="O96" s="66"/>
      <c r="P96" s="66"/>
      <c r="Q96" s="20"/>
      <c r="R96" s="20"/>
      <c r="S96" s="20"/>
      <c r="T96" s="25"/>
      <c r="U96" s="25"/>
      <c r="V96" s="66"/>
      <c r="W96" s="66"/>
      <c r="X96" s="31"/>
      <c r="Y96" s="25"/>
      <c r="Z96" s="25"/>
      <c r="AA96" s="25"/>
      <c r="AB96" s="25"/>
      <c r="AC96" s="66"/>
      <c r="AD96" s="66"/>
      <c r="AE96" s="20"/>
      <c r="AF96" s="20"/>
      <c r="AG96" s="67">
        <f>(COUNTA(C96:AF96))-AJ96-AP96</f>
        <v>0</v>
      </c>
      <c r="AH96" s="41">
        <f t="shared" si="21"/>
        <v>0</v>
      </c>
      <c r="AI96" s="41">
        <f t="shared" si="25"/>
        <v>0</v>
      </c>
      <c r="AJ96" s="41">
        <f t="shared" si="26"/>
        <v>0</v>
      </c>
      <c r="AK96" s="41">
        <f t="shared" si="27"/>
        <v>0</v>
      </c>
      <c r="AL96" s="41">
        <f t="shared" si="28"/>
        <v>0</v>
      </c>
      <c r="AM96" s="41">
        <f t="shared" si="29"/>
        <v>0</v>
      </c>
      <c r="AN96" s="41">
        <f t="shared" si="30"/>
        <v>0</v>
      </c>
      <c r="AO96" s="41">
        <f t="shared" si="31"/>
        <v>0</v>
      </c>
      <c r="AP96" s="41">
        <f>COUNTIF(C96:AF96,"A")</f>
        <v>0</v>
      </c>
      <c r="AQ96" s="35" t="e">
        <f>((AG96*2)+((AH96+AI96)*-1)+(AJ96*-1)+(AP96*-3))+(#REF!*-0.5)</f>
        <v>#REF!</v>
      </c>
      <c r="AR96" s="35">
        <f t="shared" si="32"/>
        <v>0</v>
      </c>
      <c r="AS96" s="35" t="e">
        <f t="shared" si="33"/>
        <v>#REF!</v>
      </c>
      <c r="AT96" s="35" t="e">
        <f t="shared" si="34"/>
        <v>#REF!</v>
      </c>
      <c r="AU96" s="36" t="e">
        <f t="shared" si="35"/>
        <v>#REF!</v>
      </c>
    </row>
    <row r="97" spans="1:47" x14ac:dyDescent="0.3">
      <c r="A97" s="9">
        <v>84</v>
      </c>
      <c r="B97" s="44" t="s">
        <v>116</v>
      </c>
      <c r="C97" s="45"/>
      <c r="D97" s="38"/>
      <c r="E97" s="31"/>
      <c r="F97" s="25"/>
      <c r="G97" s="31"/>
      <c r="H97" s="66"/>
      <c r="I97" s="68"/>
      <c r="J97" s="25"/>
      <c r="K97" s="25"/>
      <c r="L97" s="25"/>
      <c r="M97" s="25"/>
      <c r="N97" s="25"/>
      <c r="O97" s="66"/>
      <c r="P97" s="68"/>
      <c r="Q97" s="20"/>
      <c r="R97" s="20"/>
      <c r="S97" s="20"/>
      <c r="T97" s="25"/>
      <c r="U97" s="25"/>
      <c r="V97" s="66"/>
      <c r="W97" s="68" t="s">
        <v>74</v>
      </c>
      <c r="X97" s="31"/>
      <c r="Y97" s="25"/>
      <c r="Z97" s="25"/>
      <c r="AA97" s="25"/>
      <c r="AB97" s="25"/>
      <c r="AC97" s="66"/>
      <c r="AD97" s="68"/>
      <c r="AE97" s="20"/>
      <c r="AF97" s="20"/>
      <c r="AG97" s="67">
        <f>(COUNTA(C97:AF97))-AJ97-AP97</f>
        <v>1</v>
      </c>
      <c r="AH97" s="41">
        <f t="shared" si="21"/>
        <v>0</v>
      </c>
      <c r="AI97" s="41">
        <f t="shared" si="25"/>
        <v>0</v>
      </c>
      <c r="AJ97" s="41">
        <f t="shared" si="26"/>
        <v>0</v>
      </c>
      <c r="AK97" s="41">
        <f t="shared" si="27"/>
        <v>0</v>
      </c>
      <c r="AL97" s="41">
        <f t="shared" si="28"/>
        <v>0</v>
      </c>
      <c r="AM97" s="41">
        <f t="shared" si="29"/>
        <v>0</v>
      </c>
      <c r="AN97" s="41">
        <f t="shared" si="30"/>
        <v>0</v>
      </c>
      <c r="AO97" s="41">
        <f t="shared" si="31"/>
        <v>0</v>
      </c>
      <c r="AP97" s="41">
        <f>COUNTIF(C97:AF97,"A")</f>
        <v>0</v>
      </c>
      <c r="AQ97" s="35" t="e">
        <f>((AG97*2)+((AH97+AI97)*-1)+(AJ97*-1)+(AP97*-3))+(#REF!*-0.5)</f>
        <v>#REF!</v>
      </c>
      <c r="AR97" s="35">
        <f t="shared" si="32"/>
        <v>2</v>
      </c>
      <c r="AS97" s="35" t="e">
        <f t="shared" si="33"/>
        <v>#REF!</v>
      </c>
      <c r="AT97" s="35" t="e">
        <f t="shared" si="34"/>
        <v>#REF!</v>
      </c>
      <c r="AU97" s="36" t="e">
        <f t="shared" si="35"/>
        <v>#REF!</v>
      </c>
    </row>
    <row r="98" spans="1:47" x14ac:dyDescent="0.3">
      <c r="A98" s="9">
        <v>85</v>
      </c>
      <c r="B98" s="44" t="s">
        <v>117</v>
      </c>
      <c r="C98" s="45"/>
      <c r="D98" s="38"/>
      <c r="E98" s="31"/>
      <c r="F98" s="25"/>
      <c r="G98" s="31"/>
      <c r="H98" s="68"/>
      <c r="I98" s="66"/>
      <c r="J98" s="25"/>
      <c r="K98" s="25"/>
      <c r="L98" s="25"/>
      <c r="M98" s="25"/>
      <c r="N98" s="25"/>
      <c r="O98" s="68"/>
      <c r="P98" s="66"/>
      <c r="Q98" s="20"/>
      <c r="R98" s="20"/>
      <c r="S98" s="20"/>
      <c r="T98" s="25"/>
      <c r="U98" s="25"/>
      <c r="V98" s="68"/>
      <c r="W98" s="66"/>
      <c r="X98" s="31"/>
      <c r="Y98" s="25"/>
      <c r="Z98" s="25"/>
      <c r="AA98" s="25"/>
      <c r="AB98" s="25"/>
      <c r="AC98" s="68"/>
      <c r="AD98" s="66"/>
      <c r="AE98" s="20"/>
      <c r="AF98" s="20"/>
      <c r="AG98" s="67">
        <f>(COUNTA(C98:AF98))-AJ98-AP98</f>
        <v>0</v>
      </c>
      <c r="AH98" s="41">
        <f t="shared" si="21"/>
        <v>0</v>
      </c>
      <c r="AI98" s="41">
        <f t="shared" si="25"/>
        <v>0</v>
      </c>
      <c r="AJ98" s="41">
        <f t="shared" si="26"/>
        <v>0</v>
      </c>
      <c r="AK98" s="41">
        <f t="shared" si="27"/>
        <v>0</v>
      </c>
      <c r="AL98" s="41">
        <f t="shared" si="28"/>
        <v>0</v>
      </c>
      <c r="AM98" s="41">
        <f t="shared" si="29"/>
        <v>0</v>
      </c>
      <c r="AN98" s="41">
        <f t="shared" si="30"/>
        <v>0</v>
      </c>
      <c r="AO98" s="41">
        <f t="shared" si="31"/>
        <v>0</v>
      </c>
      <c r="AP98" s="41">
        <f>COUNTIF(C98:AF98,"A")</f>
        <v>0</v>
      </c>
      <c r="AQ98" s="35" t="e">
        <f>((AG98*2)+((AH98+AI98)*-1)+(AJ98*-1)+(AP98*-3))+(#REF!*-0.5)</f>
        <v>#REF!</v>
      </c>
      <c r="AR98" s="35">
        <f t="shared" si="32"/>
        <v>0</v>
      </c>
      <c r="AS98" s="35" t="e">
        <f t="shared" si="33"/>
        <v>#REF!</v>
      </c>
      <c r="AT98" s="35" t="e">
        <f t="shared" si="34"/>
        <v>#REF!</v>
      </c>
      <c r="AU98" s="36" t="e">
        <f t="shared" si="35"/>
        <v>#REF!</v>
      </c>
    </row>
    <row r="99" spans="1:47" x14ac:dyDescent="0.3">
      <c r="A99" s="9">
        <v>86</v>
      </c>
      <c r="B99" s="43" t="s">
        <v>118</v>
      </c>
      <c r="C99" s="45"/>
      <c r="D99" s="38"/>
      <c r="E99" s="31"/>
      <c r="F99" s="25"/>
      <c r="G99" s="31"/>
      <c r="H99" s="68"/>
      <c r="I99" s="66"/>
      <c r="J99" s="25"/>
      <c r="K99" s="25"/>
      <c r="L99" s="25"/>
      <c r="M99" s="25"/>
      <c r="N99" s="25"/>
      <c r="O99" s="68"/>
      <c r="P99" s="66"/>
      <c r="Q99" s="20"/>
      <c r="R99" s="20"/>
      <c r="S99" s="20"/>
      <c r="T99" s="25"/>
      <c r="U99" s="25"/>
      <c r="V99" s="68"/>
      <c r="W99" s="66"/>
      <c r="X99" s="31"/>
      <c r="Y99" s="25"/>
      <c r="Z99" s="25"/>
      <c r="AA99" s="25"/>
      <c r="AB99" s="25"/>
      <c r="AC99" s="68"/>
      <c r="AD99" s="66"/>
      <c r="AE99" s="20"/>
      <c r="AF99" s="20"/>
      <c r="AG99" s="67">
        <f>(COUNTA(C99:AF99))-AJ99-AP99</f>
        <v>0</v>
      </c>
      <c r="AH99" s="41">
        <f t="shared" si="21"/>
        <v>0</v>
      </c>
      <c r="AI99" s="41">
        <f t="shared" si="25"/>
        <v>0</v>
      </c>
      <c r="AJ99" s="41">
        <f t="shared" si="26"/>
        <v>0</v>
      </c>
      <c r="AK99" s="41">
        <f t="shared" si="27"/>
        <v>0</v>
      </c>
      <c r="AL99" s="41">
        <f t="shared" si="28"/>
        <v>0</v>
      </c>
      <c r="AM99" s="41">
        <f t="shared" si="29"/>
        <v>0</v>
      </c>
      <c r="AN99" s="41">
        <f t="shared" si="30"/>
        <v>0</v>
      </c>
      <c r="AO99" s="41">
        <f t="shared" si="31"/>
        <v>0</v>
      </c>
      <c r="AP99" s="41">
        <f>COUNTIF(C99:AF99,"A")</f>
        <v>0</v>
      </c>
      <c r="AQ99" s="35" t="e">
        <f>((AG99*2)+((AH99+AI99)*-1)+(AJ99*-1)+(AP99*-3))+(#REF!*-0.5)</f>
        <v>#REF!</v>
      </c>
      <c r="AR99" s="35">
        <f t="shared" si="32"/>
        <v>0</v>
      </c>
      <c r="AS99" s="35" t="e">
        <f t="shared" si="33"/>
        <v>#REF!</v>
      </c>
      <c r="AT99" s="35" t="e">
        <f t="shared" si="34"/>
        <v>#REF!</v>
      </c>
      <c r="AU99" s="36" t="e">
        <f t="shared" si="35"/>
        <v>#REF!</v>
      </c>
    </row>
    <row r="100" spans="1:47" x14ac:dyDescent="0.3">
      <c r="A100" s="9">
        <v>88</v>
      </c>
      <c r="B100" s="43" t="s">
        <v>119</v>
      </c>
      <c r="C100" s="45"/>
      <c r="D100" s="38"/>
      <c r="E100" s="31"/>
      <c r="F100" s="25"/>
      <c r="G100" s="31"/>
      <c r="H100" s="66"/>
      <c r="I100" s="68"/>
      <c r="J100" s="25"/>
      <c r="K100" s="25"/>
      <c r="L100" s="25"/>
      <c r="M100" s="25"/>
      <c r="N100" s="25"/>
      <c r="O100" s="66"/>
      <c r="P100" s="68"/>
      <c r="Q100" s="20"/>
      <c r="R100" s="20"/>
      <c r="S100" s="20"/>
      <c r="T100" s="25"/>
      <c r="U100" s="25"/>
      <c r="V100" s="66"/>
      <c r="W100" s="68"/>
      <c r="X100" s="31"/>
      <c r="Y100" s="25"/>
      <c r="Z100" s="25"/>
      <c r="AA100" s="25"/>
      <c r="AB100" s="25"/>
      <c r="AC100" s="66"/>
      <c r="AD100" s="68"/>
      <c r="AE100" s="20"/>
      <c r="AF100" s="20"/>
      <c r="AG100" s="67">
        <f>(COUNTA(C100:AF100))-AJ100-AP100</f>
        <v>0</v>
      </c>
      <c r="AH100" s="41">
        <f t="shared" si="21"/>
        <v>0</v>
      </c>
      <c r="AI100" s="41">
        <f t="shared" si="25"/>
        <v>0</v>
      </c>
      <c r="AJ100" s="41">
        <f t="shared" si="26"/>
        <v>0</v>
      </c>
      <c r="AK100" s="41">
        <f t="shared" si="27"/>
        <v>0</v>
      </c>
      <c r="AL100" s="41">
        <f t="shared" si="28"/>
        <v>0</v>
      </c>
      <c r="AM100" s="41">
        <f t="shared" si="29"/>
        <v>0</v>
      </c>
      <c r="AN100" s="41">
        <f t="shared" si="30"/>
        <v>0</v>
      </c>
      <c r="AO100" s="41">
        <f t="shared" si="31"/>
        <v>0</v>
      </c>
      <c r="AP100" s="41">
        <f>COUNTIF(C100:AF100,"A")</f>
        <v>0</v>
      </c>
      <c r="AQ100" s="35" t="e">
        <f>((AG100*2)+((AH100+AI100)*-1)+(AJ100*-1)+(AP100*-3))+(#REF!*-0.5)</f>
        <v>#REF!</v>
      </c>
      <c r="AR100" s="35">
        <f t="shared" si="32"/>
        <v>0</v>
      </c>
      <c r="AS100" s="35" t="e">
        <f t="shared" si="33"/>
        <v>#REF!</v>
      </c>
      <c r="AT100" s="35" t="e">
        <f t="shared" si="34"/>
        <v>#REF!</v>
      </c>
      <c r="AU100" s="36" t="e">
        <f t="shared" si="35"/>
        <v>#REF!</v>
      </c>
    </row>
    <row r="101" spans="1:47" x14ac:dyDescent="0.3">
      <c r="A101" s="9">
        <v>89</v>
      </c>
      <c r="B101" s="43" t="s">
        <v>120</v>
      </c>
      <c r="C101" s="45"/>
      <c r="D101" s="38"/>
      <c r="E101" s="31"/>
      <c r="F101" s="25"/>
      <c r="G101" s="31"/>
      <c r="H101" s="66"/>
      <c r="I101" s="68"/>
      <c r="J101" s="25"/>
      <c r="K101" s="25"/>
      <c r="L101" s="25"/>
      <c r="M101" s="25"/>
      <c r="N101" s="25"/>
      <c r="O101" s="66"/>
      <c r="P101" s="68"/>
      <c r="Q101" s="20"/>
      <c r="R101" s="20"/>
      <c r="S101" s="20"/>
      <c r="T101" s="25"/>
      <c r="U101" s="25"/>
      <c r="V101" s="66"/>
      <c r="W101" s="68"/>
      <c r="X101" s="31"/>
      <c r="Y101" s="25"/>
      <c r="Z101" s="25"/>
      <c r="AA101" s="25"/>
      <c r="AB101" s="25"/>
      <c r="AC101" s="66"/>
      <c r="AD101" s="68"/>
      <c r="AE101" s="20"/>
      <c r="AF101" s="20"/>
      <c r="AG101" s="67">
        <f>(COUNTA(C101:AF101))-AJ101-AP101</f>
        <v>0</v>
      </c>
      <c r="AH101" s="41">
        <f t="shared" si="21"/>
        <v>0</v>
      </c>
      <c r="AI101" s="41">
        <f t="shared" si="25"/>
        <v>0</v>
      </c>
      <c r="AJ101" s="41">
        <f t="shared" si="26"/>
        <v>0</v>
      </c>
      <c r="AK101" s="41">
        <f t="shared" si="27"/>
        <v>0</v>
      </c>
      <c r="AL101" s="41">
        <f t="shared" si="28"/>
        <v>0</v>
      </c>
      <c r="AM101" s="41">
        <f t="shared" si="29"/>
        <v>0</v>
      </c>
      <c r="AN101" s="41">
        <f t="shared" si="30"/>
        <v>0</v>
      </c>
      <c r="AO101" s="41">
        <f t="shared" si="31"/>
        <v>0</v>
      </c>
      <c r="AP101" s="41">
        <f>COUNTIF(C101:AF101,"A")</f>
        <v>0</v>
      </c>
      <c r="AQ101" s="35" t="e">
        <f>((AG101*2)+((AH101+AI101)*-1)+(AJ101*-1)+(AP101*-3))+(#REF!*-0.5)</f>
        <v>#REF!</v>
      </c>
      <c r="AR101" s="35">
        <f t="shared" si="32"/>
        <v>0</v>
      </c>
      <c r="AS101" s="35" t="e">
        <f t="shared" si="33"/>
        <v>#REF!</v>
      </c>
      <c r="AT101" s="35" t="e">
        <f t="shared" si="34"/>
        <v>#REF!</v>
      </c>
      <c r="AU101" s="36" t="e">
        <f t="shared" si="35"/>
        <v>#REF!</v>
      </c>
    </row>
    <row r="102" spans="1:47" x14ac:dyDescent="0.3">
      <c r="A102" s="9">
        <v>90</v>
      </c>
      <c r="B102" s="43" t="s">
        <v>121</v>
      </c>
      <c r="C102" s="45"/>
      <c r="D102" s="38"/>
      <c r="E102" s="31"/>
      <c r="F102" s="25"/>
      <c r="G102" s="31"/>
      <c r="H102" s="66"/>
      <c r="I102" s="68"/>
      <c r="J102" s="25"/>
      <c r="K102" s="25"/>
      <c r="L102" s="25"/>
      <c r="M102" s="25"/>
      <c r="N102" s="25"/>
      <c r="O102" s="66"/>
      <c r="P102" s="68"/>
      <c r="Q102" s="20"/>
      <c r="R102" s="20"/>
      <c r="S102" s="20"/>
      <c r="T102" s="25"/>
      <c r="U102" s="25"/>
      <c r="V102" s="66"/>
      <c r="W102" s="68"/>
      <c r="X102" s="31"/>
      <c r="Y102" s="25"/>
      <c r="Z102" s="25"/>
      <c r="AA102" s="25"/>
      <c r="AB102" s="25"/>
      <c r="AC102" s="66"/>
      <c r="AD102" s="68"/>
      <c r="AE102" s="20"/>
      <c r="AF102" s="20"/>
      <c r="AG102" s="67">
        <f>(COUNTA(C102:AF102))-AJ102-AP102</f>
        <v>0</v>
      </c>
      <c r="AH102" s="41">
        <f t="shared" si="21"/>
        <v>0</v>
      </c>
      <c r="AI102" s="41">
        <f t="shared" si="25"/>
        <v>0</v>
      </c>
      <c r="AJ102" s="41">
        <f t="shared" si="26"/>
        <v>0</v>
      </c>
      <c r="AK102" s="41">
        <f t="shared" si="27"/>
        <v>0</v>
      </c>
      <c r="AL102" s="41">
        <f t="shared" si="28"/>
        <v>0</v>
      </c>
      <c r="AM102" s="41">
        <f t="shared" si="29"/>
        <v>0</v>
      </c>
      <c r="AN102" s="41">
        <f t="shared" si="30"/>
        <v>0</v>
      </c>
      <c r="AO102" s="41">
        <f t="shared" si="31"/>
        <v>0</v>
      </c>
      <c r="AP102" s="41">
        <f>COUNTIF(C102:AF102,"A")</f>
        <v>0</v>
      </c>
      <c r="AQ102" s="35" t="e">
        <f>((AG102*2)+((AH102+AI102)*-1)+(AJ102*-1)+(AP102*-3))+(#REF!*-0.5)</f>
        <v>#REF!</v>
      </c>
      <c r="AR102" s="35">
        <f t="shared" si="32"/>
        <v>0</v>
      </c>
      <c r="AS102" s="35" t="e">
        <f t="shared" si="33"/>
        <v>#REF!</v>
      </c>
      <c r="AT102" s="35" t="e">
        <f t="shared" si="34"/>
        <v>#REF!</v>
      </c>
      <c r="AU102" s="36" t="e">
        <f t="shared" si="35"/>
        <v>#REF!</v>
      </c>
    </row>
    <row r="103" spans="1:47" x14ac:dyDescent="0.3">
      <c r="A103" s="9">
        <v>91</v>
      </c>
      <c r="B103" s="60" t="s">
        <v>122</v>
      </c>
      <c r="C103" s="45"/>
      <c r="D103" s="38"/>
      <c r="E103" s="31"/>
      <c r="F103" s="25"/>
      <c r="G103" s="31"/>
      <c r="H103" s="69"/>
      <c r="I103" s="69"/>
      <c r="J103" s="25"/>
      <c r="K103" s="25"/>
      <c r="L103" s="25"/>
      <c r="M103" s="25"/>
      <c r="N103" s="25"/>
      <c r="O103" s="69"/>
      <c r="P103" s="70"/>
      <c r="Q103" s="20"/>
      <c r="R103" s="20"/>
      <c r="S103" s="20"/>
      <c r="T103" s="25"/>
      <c r="U103" s="25"/>
      <c r="V103" s="69"/>
      <c r="W103" s="69"/>
      <c r="X103" s="31"/>
      <c r="Y103" s="25"/>
      <c r="Z103" s="25"/>
      <c r="AA103" s="25"/>
      <c r="AB103" s="25"/>
      <c r="AC103" s="70"/>
      <c r="AD103" s="69"/>
      <c r="AE103" s="20"/>
      <c r="AF103" s="20"/>
      <c r="AG103" s="71">
        <f t="shared" ref="AG103:AG111" si="36">COUNTA(C103:AF103)+COUNTIF(C103:AF103,"SM")+COUNTIF(C103:AF103,"M/L")+COUNTIF(C103:AF103,"P/L")+COUNTIF(C103:AF103,"SM/L")+COUNTIF(C103:AF103,"SM+P")+COUNTIF(C103:AF103,"P+SM")-(COUNTIF(C103:AF103,"AL"))-(COUNTIF(C103:AF103,"OTL"))-(COUNTIF(C103:AF103,"I"))-(COUNTIF(C103:AF103,"OTL"))</f>
        <v>0</v>
      </c>
      <c r="AH103" s="41">
        <f t="shared" si="21"/>
        <v>0</v>
      </c>
      <c r="AI103" s="41">
        <f t="shared" si="25"/>
        <v>0</v>
      </c>
      <c r="AJ103" s="41">
        <f t="shared" si="26"/>
        <v>0</v>
      </c>
      <c r="AK103" s="41">
        <f t="shared" si="27"/>
        <v>0</v>
      </c>
      <c r="AL103" s="41">
        <f t="shared" si="28"/>
        <v>0</v>
      </c>
      <c r="AM103" s="41">
        <f t="shared" si="29"/>
        <v>0</v>
      </c>
      <c r="AN103" s="41">
        <f t="shared" si="30"/>
        <v>0</v>
      </c>
      <c r="AO103" s="41">
        <f t="shared" si="31"/>
        <v>0</v>
      </c>
      <c r="AP103" s="41">
        <f>COUNTIF(C103:AF103,"A")</f>
        <v>0</v>
      </c>
      <c r="AQ103" s="35" t="e">
        <f>((AG103*2)+((AH103+AI103)*-1)+(AJ103*-1)+(AP103*-3))+(#REF!*-0.5)</f>
        <v>#REF!</v>
      </c>
      <c r="AR103" s="35">
        <f t="shared" si="32"/>
        <v>0</v>
      </c>
      <c r="AS103" s="35" t="e">
        <f t="shared" si="33"/>
        <v>#REF!</v>
      </c>
      <c r="AT103" s="35" t="e">
        <f t="shared" si="34"/>
        <v>#REF!</v>
      </c>
      <c r="AU103" s="36" t="e">
        <f t="shared" si="35"/>
        <v>#REF!</v>
      </c>
    </row>
    <row r="104" spans="1:47" x14ac:dyDescent="0.3">
      <c r="A104" s="9">
        <v>92</v>
      </c>
      <c r="B104" s="60" t="s">
        <v>123</v>
      </c>
      <c r="C104" s="45"/>
      <c r="D104" s="38"/>
      <c r="E104" s="31"/>
      <c r="F104" s="25"/>
      <c r="G104" s="31"/>
      <c r="H104" s="62"/>
      <c r="I104" s="61"/>
      <c r="J104" s="25"/>
      <c r="K104" s="25"/>
      <c r="L104" s="25"/>
      <c r="M104" s="25"/>
      <c r="N104" s="25"/>
      <c r="O104" s="62"/>
      <c r="P104" s="62"/>
      <c r="Q104" s="20"/>
      <c r="R104" s="20"/>
      <c r="S104" s="20"/>
      <c r="T104" s="25"/>
      <c r="U104" s="25"/>
      <c r="V104" s="61"/>
      <c r="W104" s="62"/>
      <c r="X104" s="31"/>
      <c r="Y104" s="25"/>
      <c r="Z104" s="25"/>
      <c r="AA104" s="25"/>
      <c r="AB104" s="25"/>
      <c r="AC104" s="62"/>
      <c r="AD104" s="61"/>
      <c r="AE104" s="20"/>
      <c r="AF104" s="20"/>
      <c r="AG104" s="71">
        <f t="shared" si="36"/>
        <v>0</v>
      </c>
      <c r="AH104" s="41">
        <f t="shared" si="21"/>
        <v>0</v>
      </c>
      <c r="AI104" s="41">
        <f t="shared" si="25"/>
        <v>0</v>
      </c>
      <c r="AJ104" s="41">
        <f t="shared" si="26"/>
        <v>0</v>
      </c>
      <c r="AK104" s="41">
        <f t="shared" si="27"/>
        <v>0</v>
      </c>
      <c r="AL104" s="41">
        <f t="shared" si="28"/>
        <v>0</v>
      </c>
      <c r="AM104" s="41">
        <f t="shared" si="29"/>
        <v>0</v>
      </c>
      <c r="AN104" s="41">
        <f t="shared" si="30"/>
        <v>0</v>
      </c>
      <c r="AO104" s="41">
        <f t="shared" si="31"/>
        <v>0</v>
      </c>
      <c r="AP104" s="41">
        <f>COUNTIF(C104:AF104,"A")</f>
        <v>0</v>
      </c>
      <c r="AQ104" s="35" t="e">
        <f>((AG104*2)+((AH104+AI104)*-1)+(AJ104*-1)+(AP104*-3))+(#REF!*-0.5)</f>
        <v>#REF!</v>
      </c>
      <c r="AR104" s="35">
        <f t="shared" si="32"/>
        <v>0</v>
      </c>
      <c r="AS104" s="35" t="e">
        <f t="shared" si="33"/>
        <v>#REF!</v>
      </c>
      <c r="AT104" s="35" t="e">
        <f t="shared" si="34"/>
        <v>#REF!</v>
      </c>
      <c r="AU104" s="36" t="e">
        <f t="shared" si="35"/>
        <v>#REF!</v>
      </c>
    </row>
    <row r="105" spans="1:47" x14ac:dyDescent="0.3">
      <c r="A105" s="9">
        <v>93</v>
      </c>
      <c r="B105" s="60" t="s">
        <v>124</v>
      </c>
      <c r="C105" s="45"/>
      <c r="D105" s="38"/>
      <c r="E105" s="31"/>
      <c r="F105" s="25"/>
      <c r="G105" s="31"/>
      <c r="H105" s="62"/>
      <c r="I105" s="62"/>
      <c r="J105" s="25"/>
      <c r="K105" s="25"/>
      <c r="L105" s="25"/>
      <c r="M105" s="25"/>
      <c r="N105" s="25"/>
      <c r="O105" s="61"/>
      <c r="P105" s="62"/>
      <c r="Q105" s="20"/>
      <c r="R105" s="20"/>
      <c r="S105" s="20"/>
      <c r="T105" s="25"/>
      <c r="U105" s="25"/>
      <c r="V105" s="62"/>
      <c r="W105" s="61"/>
      <c r="X105" s="31"/>
      <c r="Y105" s="25"/>
      <c r="Z105" s="25"/>
      <c r="AA105" s="25"/>
      <c r="AB105" s="25"/>
      <c r="AC105" s="61"/>
      <c r="AD105" s="62"/>
      <c r="AE105" s="20"/>
      <c r="AF105" s="20"/>
      <c r="AG105" s="72">
        <f t="shared" si="36"/>
        <v>0</v>
      </c>
      <c r="AH105" s="73">
        <f t="shared" si="21"/>
        <v>0</v>
      </c>
      <c r="AI105" s="73">
        <f t="shared" si="25"/>
        <v>0</v>
      </c>
      <c r="AJ105" s="73">
        <f t="shared" si="26"/>
        <v>0</v>
      </c>
      <c r="AK105" s="73">
        <f t="shared" si="27"/>
        <v>0</v>
      </c>
      <c r="AL105" s="73">
        <f t="shared" si="28"/>
        <v>0</v>
      </c>
      <c r="AM105" s="73">
        <f t="shared" si="29"/>
        <v>0</v>
      </c>
      <c r="AN105" s="73">
        <f t="shared" si="30"/>
        <v>0</v>
      </c>
      <c r="AO105" s="73">
        <f t="shared" si="31"/>
        <v>0</v>
      </c>
      <c r="AP105" s="73">
        <f>COUNTIF(C105:AF105,"A")</f>
        <v>0</v>
      </c>
      <c r="AQ105" s="74" t="e">
        <f>((AG105*2)+((AH105+AI105)*-1)+(AJ105*-1)+(AP105*-3))+(#REF!*-0.5)</f>
        <v>#REF!</v>
      </c>
      <c r="AR105" s="74">
        <f t="shared" si="32"/>
        <v>0</v>
      </c>
      <c r="AS105" s="74" t="e">
        <f t="shared" si="33"/>
        <v>#REF!</v>
      </c>
      <c r="AT105" s="74" t="e">
        <f t="shared" si="34"/>
        <v>#REF!</v>
      </c>
      <c r="AU105" s="75" t="e">
        <f t="shared" si="35"/>
        <v>#REF!</v>
      </c>
    </row>
    <row r="106" spans="1:47" x14ac:dyDescent="0.3">
      <c r="A106" s="9">
        <v>94</v>
      </c>
      <c r="B106" s="43" t="s">
        <v>125</v>
      </c>
      <c r="C106" s="45"/>
      <c r="D106" s="38"/>
      <c r="E106" s="31"/>
      <c r="F106" s="25"/>
      <c r="G106" s="31"/>
      <c r="H106" s="61"/>
      <c r="I106" s="62"/>
      <c r="J106" s="25"/>
      <c r="K106" s="25"/>
      <c r="L106" s="25"/>
      <c r="M106" s="25"/>
      <c r="N106" s="25"/>
      <c r="O106" s="62"/>
      <c r="P106" s="62"/>
      <c r="Q106" s="20"/>
      <c r="R106" s="20"/>
      <c r="S106" s="20"/>
      <c r="T106" s="25"/>
      <c r="U106" s="25"/>
      <c r="V106" s="62"/>
      <c r="W106" s="62"/>
      <c r="X106" s="31"/>
      <c r="Y106" s="25"/>
      <c r="Z106" s="25"/>
      <c r="AA106" s="25"/>
      <c r="AB106" s="25"/>
      <c r="AC106" s="61"/>
      <c r="AD106" s="61"/>
      <c r="AE106" s="20"/>
      <c r="AF106" s="20"/>
      <c r="AG106" s="71">
        <f t="shared" si="36"/>
        <v>0</v>
      </c>
      <c r="AH106" s="41">
        <f t="shared" si="21"/>
        <v>0</v>
      </c>
      <c r="AI106" s="41">
        <f t="shared" si="25"/>
        <v>0</v>
      </c>
      <c r="AJ106" s="41">
        <f t="shared" si="26"/>
        <v>0</v>
      </c>
      <c r="AK106" s="41">
        <f t="shared" si="27"/>
        <v>0</v>
      </c>
      <c r="AL106" s="41">
        <f t="shared" si="28"/>
        <v>0</v>
      </c>
      <c r="AM106" s="41">
        <f t="shared" si="29"/>
        <v>0</v>
      </c>
      <c r="AN106" s="41">
        <f t="shared" si="30"/>
        <v>0</v>
      </c>
      <c r="AO106" s="41">
        <f t="shared" si="31"/>
        <v>0</v>
      </c>
      <c r="AP106" s="41">
        <f>COUNTIF(C106:AF106,"A")</f>
        <v>0</v>
      </c>
      <c r="AQ106" s="35" t="e">
        <f>((AG106*2)+((AH106+AI106)*-1)+(AJ106*-1)+(AP106*-3))+(#REF!*-0.5)</f>
        <v>#REF!</v>
      </c>
      <c r="AR106" s="35">
        <f t="shared" si="32"/>
        <v>0</v>
      </c>
      <c r="AS106" s="76" t="e">
        <f t="shared" si="33"/>
        <v>#REF!</v>
      </c>
      <c r="AT106" s="35" t="e">
        <f t="shared" si="34"/>
        <v>#REF!</v>
      </c>
      <c r="AU106" s="36" t="e">
        <f t="shared" si="35"/>
        <v>#REF!</v>
      </c>
    </row>
    <row r="107" spans="1:47" x14ac:dyDescent="0.3">
      <c r="A107" s="9">
        <v>95</v>
      </c>
      <c r="B107" s="43" t="s">
        <v>126</v>
      </c>
      <c r="C107" s="45"/>
      <c r="D107" s="38"/>
      <c r="E107" s="31"/>
      <c r="F107" s="25"/>
      <c r="G107" s="31"/>
      <c r="H107" s="62"/>
      <c r="I107" s="62"/>
      <c r="J107" s="25"/>
      <c r="K107" s="25"/>
      <c r="L107" s="25"/>
      <c r="M107" s="25"/>
      <c r="N107" s="25"/>
      <c r="O107" s="62"/>
      <c r="P107" s="62"/>
      <c r="Q107" s="20"/>
      <c r="R107" s="20"/>
      <c r="S107" s="20"/>
      <c r="T107" s="25"/>
      <c r="U107" s="25"/>
      <c r="V107" s="61"/>
      <c r="W107" s="61"/>
      <c r="X107" s="31"/>
      <c r="Y107" s="25"/>
      <c r="Z107" s="25"/>
      <c r="AA107" s="25"/>
      <c r="AB107" s="25"/>
      <c r="AC107" s="62"/>
      <c r="AD107" s="62"/>
      <c r="AE107" s="20"/>
      <c r="AF107" s="20"/>
      <c r="AG107" s="72">
        <f t="shared" si="36"/>
        <v>0</v>
      </c>
      <c r="AH107" s="73">
        <f t="shared" si="21"/>
        <v>0</v>
      </c>
      <c r="AI107" s="73">
        <f t="shared" si="25"/>
        <v>0</v>
      </c>
      <c r="AJ107" s="73">
        <f t="shared" si="26"/>
        <v>0</v>
      </c>
      <c r="AK107" s="73">
        <f t="shared" si="27"/>
        <v>0</v>
      </c>
      <c r="AL107" s="73">
        <f t="shared" si="28"/>
        <v>0</v>
      </c>
      <c r="AM107" s="73">
        <f t="shared" si="29"/>
        <v>0</v>
      </c>
      <c r="AN107" s="73">
        <f t="shared" si="30"/>
        <v>0</v>
      </c>
      <c r="AO107" s="73">
        <f t="shared" si="31"/>
        <v>0</v>
      </c>
      <c r="AP107" s="73">
        <f>COUNTIF(C107:AF107,"A")</f>
        <v>0</v>
      </c>
      <c r="AQ107" s="74" t="e">
        <f>((AG107*2)+((AH107+AI107)*-1)+(AJ107*-1)+(AP107*-3))+(#REF!*-0.5)</f>
        <v>#REF!</v>
      </c>
      <c r="AR107" s="74">
        <f t="shared" si="32"/>
        <v>0</v>
      </c>
      <c r="AS107" s="77" t="e">
        <f t="shared" si="33"/>
        <v>#REF!</v>
      </c>
      <c r="AT107" s="74" t="e">
        <f t="shared" si="34"/>
        <v>#REF!</v>
      </c>
      <c r="AU107" s="75" t="e">
        <f t="shared" si="35"/>
        <v>#REF!</v>
      </c>
    </row>
    <row r="108" spans="1:47" x14ac:dyDescent="0.3">
      <c r="A108" s="9">
        <v>96</v>
      </c>
      <c r="B108" s="44" t="s">
        <v>127</v>
      </c>
      <c r="C108" s="45"/>
      <c r="D108" s="38"/>
      <c r="E108" s="31"/>
      <c r="F108" s="25"/>
      <c r="G108" s="31"/>
      <c r="H108" s="61"/>
      <c r="I108" s="61"/>
      <c r="J108" s="25"/>
      <c r="K108" s="25"/>
      <c r="L108" s="25"/>
      <c r="M108" s="25"/>
      <c r="N108" s="25"/>
      <c r="O108" s="62"/>
      <c r="P108" s="62"/>
      <c r="Q108" s="20"/>
      <c r="R108" s="20"/>
      <c r="S108" s="20"/>
      <c r="T108" s="25"/>
      <c r="U108" s="25"/>
      <c r="V108" s="62"/>
      <c r="W108" s="61"/>
      <c r="X108" s="31"/>
      <c r="Y108" s="25"/>
      <c r="Z108" s="25"/>
      <c r="AA108" s="25"/>
      <c r="AB108" s="25"/>
      <c r="AC108" s="62"/>
      <c r="AD108" s="62"/>
      <c r="AE108" s="20"/>
      <c r="AF108" s="20"/>
      <c r="AG108" s="72">
        <f t="shared" si="36"/>
        <v>0</v>
      </c>
      <c r="AH108" s="73">
        <f t="shared" si="21"/>
        <v>0</v>
      </c>
      <c r="AI108" s="73">
        <f t="shared" si="25"/>
        <v>0</v>
      </c>
      <c r="AJ108" s="73">
        <f t="shared" si="26"/>
        <v>0</v>
      </c>
      <c r="AK108" s="73">
        <f t="shared" si="27"/>
        <v>0</v>
      </c>
      <c r="AL108" s="73">
        <f t="shared" si="28"/>
        <v>0</v>
      </c>
      <c r="AM108" s="73">
        <f t="shared" si="29"/>
        <v>0</v>
      </c>
      <c r="AN108" s="73">
        <f t="shared" si="30"/>
        <v>0</v>
      </c>
      <c r="AO108" s="73">
        <f t="shared" si="31"/>
        <v>0</v>
      </c>
      <c r="AP108" s="73">
        <f>COUNTIF(C108:AF108,"A")</f>
        <v>0</v>
      </c>
      <c r="AQ108" s="74" t="e">
        <f>((AG108*2)+((AH108+AI108)*-1)+(AJ108*-1)+(AP108*-3))+(#REF!*-0.5)</f>
        <v>#REF!</v>
      </c>
      <c r="AR108" s="74">
        <f t="shared" si="32"/>
        <v>0</v>
      </c>
      <c r="AS108" s="77" t="e">
        <f t="shared" si="33"/>
        <v>#REF!</v>
      </c>
      <c r="AT108" s="74" t="e">
        <f t="shared" si="34"/>
        <v>#REF!</v>
      </c>
      <c r="AU108" s="75" t="e">
        <f t="shared" si="35"/>
        <v>#REF!</v>
      </c>
    </row>
    <row r="109" spans="1:47" x14ac:dyDescent="0.3">
      <c r="A109" s="9">
        <v>97</v>
      </c>
      <c r="B109" s="44" t="s">
        <v>128</v>
      </c>
      <c r="C109" s="45"/>
      <c r="D109" s="38"/>
      <c r="E109" s="31"/>
      <c r="F109" s="25"/>
      <c r="G109" s="31"/>
      <c r="H109" s="61"/>
      <c r="I109" s="62"/>
      <c r="J109" s="25"/>
      <c r="K109" s="25"/>
      <c r="L109" s="25"/>
      <c r="M109" s="25"/>
      <c r="N109" s="25"/>
      <c r="O109" s="62"/>
      <c r="P109" s="61"/>
      <c r="Q109" s="20"/>
      <c r="R109" s="20"/>
      <c r="S109" s="20"/>
      <c r="T109" s="25"/>
      <c r="U109" s="25"/>
      <c r="V109" s="61"/>
      <c r="W109" s="62"/>
      <c r="X109" s="31"/>
      <c r="Y109" s="25"/>
      <c r="Z109" s="25"/>
      <c r="AA109" s="25"/>
      <c r="AB109" s="25"/>
      <c r="AC109" s="62"/>
      <c r="AD109" s="62"/>
      <c r="AE109" s="20"/>
      <c r="AF109" s="20"/>
      <c r="AG109" s="72">
        <f t="shared" si="36"/>
        <v>0</v>
      </c>
      <c r="AH109" s="73">
        <f t="shared" si="21"/>
        <v>0</v>
      </c>
      <c r="AI109" s="73">
        <f t="shared" si="25"/>
        <v>0</v>
      </c>
      <c r="AJ109" s="73">
        <f t="shared" si="26"/>
        <v>0</v>
      </c>
      <c r="AK109" s="73">
        <f t="shared" si="27"/>
        <v>0</v>
      </c>
      <c r="AL109" s="73">
        <f t="shared" si="28"/>
        <v>0</v>
      </c>
      <c r="AM109" s="73">
        <f t="shared" si="29"/>
        <v>0</v>
      </c>
      <c r="AN109" s="73">
        <f t="shared" si="30"/>
        <v>0</v>
      </c>
      <c r="AO109" s="73">
        <f t="shared" si="31"/>
        <v>0</v>
      </c>
      <c r="AP109" s="73">
        <f>COUNTIF(C109:AF109,"A")</f>
        <v>0</v>
      </c>
      <c r="AQ109" s="74" t="e">
        <f>((AG109*2)+((AH109+AI109)*-1)+(AJ109*-1)+(AP109*-3))+(#REF!*-0.5)</f>
        <v>#REF!</v>
      </c>
      <c r="AR109" s="74">
        <f t="shared" si="32"/>
        <v>0</v>
      </c>
      <c r="AS109" s="77" t="e">
        <f t="shared" si="33"/>
        <v>#REF!</v>
      </c>
      <c r="AT109" s="74" t="e">
        <f t="shared" si="34"/>
        <v>#REF!</v>
      </c>
      <c r="AU109" s="75" t="e">
        <f t="shared" si="35"/>
        <v>#REF!</v>
      </c>
    </row>
    <row r="110" spans="1:47" x14ac:dyDescent="0.3">
      <c r="A110" s="9">
        <v>98</v>
      </c>
      <c r="B110" s="44" t="s">
        <v>129</v>
      </c>
      <c r="C110" s="45"/>
      <c r="D110" s="38"/>
      <c r="E110" s="31"/>
      <c r="F110" s="25"/>
      <c r="G110" s="31"/>
      <c r="H110" s="62"/>
      <c r="I110" s="61"/>
      <c r="J110" s="25"/>
      <c r="K110" s="25"/>
      <c r="L110" s="25"/>
      <c r="M110" s="25"/>
      <c r="N110" s="25"/>
      <c r="O110" s="61"/>
      <c r="P110" s="62"/>
      <c r="Q110" s="20"/>
      <c r="R110" s="20"/>
      <c r="S110" s="20"/>
      <c r="T110" s="25"/>
      <c r="U110" s="25"/>
      <c r="V110" s="62"/>
      <c r="W110" s="62"/>
      <c r="X110" s="31"/>
      <c r="Y110" s="25"/>
      <c r="Z110" s="25"/>
      <c r="AA110" s="25"/>
      <c r="AB110" s="25"/>
      <c r="AC110" s="62"/>
      <c r="AD110" s="62"/>
      <c r="AE110" s="20"/>
      <c r="AF110" s="20"/>
      <c r="AG110" s="72">
        <f t="shared" si="36"/>
        <v>0</v>
      </c>
      <c r="AH110" s="73">
        <f t="shared" si="21"/>
        <v>0</v>
      </c>
      <c r="AI110" s="73">
        <f t="shared" si="25"/>
        <v>0</v>
      </c>
      <c r="AJ110" s="73">
        <f t="shared" si="26"/>
        <v>0</v>
      </c>
      <c r="AK110" s="73">
        <f t="shared" si="27"/>
        <v>0</v>
      </c>
      <c r="AL110" s="73">
        <f t="shared" si="28"/>
        <v>0</v>
      </c>
      <c r="AM110" s="73">
        <f t="shared" si="29"/>
        <v>0</v>
      </c>
      <c r="AN110" s="73">
        <f t="shared" si="30"/>
        <v>0</v>
      </c>
      <c r="AO110" s="73">
        <f t="shared" si="31"/>
        <v>0</v>
      </c>
      <c r="AP110" s="73">
        <f>COUNTIF(C110:AF110,"A")</f>
        <v>0</v>
      </c>
      <c r="AQ110" s="74" t="e">
        <f>((AG110*2)+((AH110+AI110)*-1)+(AJ110*-1)+(AP110*-3))+(#REF!*-0.5)</f>
        <v>#REF!</v>
      </c>
      <c r="AR110" s="74">
        <f t="shared" si="32"/>
        <v>0</v>
      </c>
      <c r="AS110" s="77" t="e">
        <f t="shared" si="33"/>
        <v>#REF!</v>
      </c>
      <c r="AT110" s="74" t="e">
        <f t="shared" si="34"/>
        <v>#REF!</v>
      </c>
      <c r="AU110" s="75" t="e">
        <f t="shared" si="35"/>
        <v>#REF!</v>
      </c>
    </row>
    <row r="111" spans="1:47" x14ac:dyDescent="0.3">
      <c r="A111" s="9">
        <v>99</v>
      </c>
      <c r="B111" s="60" t="s">
        <v>130</v>
      </c>
      <c r="C111" s="45"/>
      <c r="D111" s="38"/>
      <c r="E111" s="31"/>
      <c r="F111" s="25"/>
      <c r="G111" s="31"/>
      <c r="H111" s="62"/>
      <c r="I111" s="62"/>
      <c r="J111" s="25"/>
      <c r="K111" s="25"/>
      <c r="L111" s="25"/>
      <c r="M111" s="25"/>
      <c r="N111" s="25"/>
      <c r="O111" s="61"/>
      <c r="P111" s="61"/>
      <c r="Q111" s="20"/>
      <c r="R111" s="20"/>
      <c r="S111" s="20"/>
      <c r="T111" s="25"/>
      <c r="U111" s="25"/>
      <c r="V111" s="62"/>
      <c r="W111" s="62"/>
      <c r="X111" s="31"/>
      <c r="Y111" s="25"/>
      <c r="Z111" s="25"/>
      <c r="AA111" s="25"/>
      <c r="AB111" s="25"/>
      <c r="AC111" s="62"/>
      <c r="AD111" s="61"/>
      <c r="AE111" s="20"/>
      <c r="AF111" s="20"/>
      <c r="AG111" s="71">
        <f t="shared" si="36"/>
        <v>0</v>
      </c>
      <c r="AH111" s="41">
        <f t="shared" si="21"/>
        <v>0</v>
      </c>
      <c r="AI111" s="41">
        <f t="shared" si="25"/>
        <v>0</v>
      </c>
      <c r="AJ111" s="41">
        <f t="shared" si="26"/>
        <v>0</v>
      </c>
      <c r="AK111" s="41">
        <f t="shared" si="27"/>
        <v>0</v>
      </c>
      <c r="AL111" s="41">
        <f t="shared" si="28"/>
        <v>0</v>
      </c>
      <c r="AM111" s="41">
        <f t="shared" si="29"/>
        <v>0</v>
      </c>
      <c r="AN111" s="41">
        <f t="shared" si="30"/>
        <v>0</v>
      </c>
      <c r="AO111" s="41">
        <f t="shared" si="31"/>
        <v>0</v>
      </c>
      <c r="AP111" s="41">
        <f>COUNTIF(C111:AF111,"A")</f>
        <v>0</v>
      </c>
      <c r="AQ111" s="35" t="e">
        <f>((AG111*2)+((AH111+AI111)*-1)+(AJ111*-1)+(AP111*-3))+(#REF!*-0.5)</f>
        <v>#REF!</v>
      </c>
      <c r="AR111" s="35">
        <f t="shared" si="32"/>
        <v>0</v>
      </c>
      <c r="AS111" s="35" t="e">
        <f t="shared" si="33"/>
        <v>#REF!</v>
      </c>
      <c r="AT111" s="35" t="e">
        <f t="shared" si="34"/>
        <v>#REF!</v>
      </c>
      <c r="AU111" s="36" t="e">
        <f t="shared" si="35"/>
        <v>#REF!</v>
      </c>
    </row>
    <row r="112" spans="1:47" x14ac:dyDescent="0.3">
      <c r="A112" s="5"/>
    </row>
    <row r="113" spans="3:29" ht="15.6" x14ac:dyDescent="0.3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78" t="s">
        <v>131</v>
      </c>
      <c r="X113" s="4"/>
      <c r="Y113" s="4"/>
      <c r="Z113" s="4"/>
      <c r="AA113" s="4"/>
      <c r="AC113" s="79"/>
    </row>
    <row r="114" spans="3:29" ht="15.6" x14ac:dyDescent="0.3">
      <c r="C114" s="78" t="s">
        <v>132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 t="s">
        <v>133</v>
      </c>
      <c r="X114" s="4"/>
      <c r="Y114" s="4"/>
      <c r="Z114" s="4"/>
      <c r="AA114" s="4"/>
      <c r="AC114" s="79"/>
    </row>
    <row r="115" spans="3:29" ht="15.6" x14ac:dyDescent="0.3">
      <c r="C115" s="4" t="s">
        <v>134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 t="s">
        <v>135</v>
      </c>
      <c r="X115" s="4"/>
      <c r="Y115" s="4"/>
      <c r="Z115" s="4"/>
      <c r="AA115" s="4"/>
      <c r="AC115" s="79"/>
    </row>
    <row r="116" spans="3:29" ht="15.6" x14ac:dyDescent="0.3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C116" s="79"/>
    </row>
    <row r="117" spans="3:29" ht="15.6" x14ac:dyDescent="0.3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C117" s="79"/>
    </row>
    <row r="118" spans="3:29" ht="15.6" x14ac:dyDescent="0.3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C118" s="79"/>
    </row>
    <row r="119" spans="3:29" ht="15.6" x14ac:dyDescent="0.3">
      <c r="C119" s="80" t="s">
        <v>136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 t="s">
        <v>137</v>
      </c>
      <c r="X119" s="4"/>
      <c r="Y119" s="4"/>
      <c r="Z119" s="4"/>
      <c r="AA119" s="4"/>
    </row>
    <row r="120" spans="3:29" ht="15.6" x14ac:dyDescent="0.3">
      <c r="C120" s="80" t="s">
        <v>138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 t="s">
        <v>139</v>
      </c>
      <c r="X120" s="4"/>
      <c r="Y120" s="4"/>
      <c r="Z120" s="4"/>
      <c r="AA120" s="4"/>
    </row>
    <row r="121" spans="3:29" ht="15.6" x14ac:dyDescent="0.3">
      <c r="C121" s="80" t="s">
        <v>140</v>
      </c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4"/>
      <c r="Z121" s="4"/>
      <c r="AA121" s="4"/>
    </row>
  </sheetData>
  <mergeCells count="19">
    <mergeCell ref="K6:L6"/>
    <mergeCell ref="AN6:AO6"/>
    <mergeCell ref="A7:AU7"/>
    <mergeCell ref="A1:AU1"/>
    <mergeCell ref="A2:AU2"/>
    <mergeCell ref="A3:AU3"/>
    <mergeCell ref="A4:AU4"/>
    <mergeCell ref="A5:Y5"/>
    <mergeCell ref="AQ12:AU12"/>
    <mergeCell ref="A8:AU8"/>
    <mergeCell ref="J9:M9"/>
    <mergeCell ref="AA9:AF9"/>
    <mergeCell ref="AH9:AK9"/>
    <mergeCell ref="AM9:AO9"/>
    <mergeCell ref="C10:AF10"/>
    <mergeCell ref="AH10:AM10"/>
    <mergeCell ref="A12:A15"/>
    <mergeCell ref="B12:B15"/>
    <mergeCell ref="AG12:AP1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ILHAM ADISYAH PUTRA</dc:creator>
  <cp:lastModifiedBy>ILHAM ADISYAH PUTRA</cp:lastModifiedBy>
  <dcterms:created xsi:type="dcterms:W3CDTF">2026-09-04T01:20:09Z</dcterms:created>
  <dcterms:modified xsi:type="dcterms:W3CDTF">2026-09-07T02:16:26Z</dcterms:modified>
</cp:coreProperties>
</file>